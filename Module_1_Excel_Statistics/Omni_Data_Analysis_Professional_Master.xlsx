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tsav\omni\OmniDataAnalysisModule\Module_1_Excel_Statistics\"/>
    </mc:Choice>
  </mc:AlternateContent>
  <xr:revisionPtr revIDLastSave="0" documentId="8_{AA16DF6B-72CD-45C5-A600-8239BB6C172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shboard" sheetId="1" r:id="rId1"/>
    <sheet name="1_Advanced_Formulas" sheetId="2" r:id="rId2"/>
    <sheet name="2_Sales_Analytics" sheetId="3" r:id="rId3"/>
    <sheet name="3_Data_Engineering" sheetId="4" r:id="rId4"/>
    <sheet name="4_Descriptive_Stats" sheetId="5" r:id="rId5"/>
    <sheet name="5_Inferential_Stats" sheetId="6" r:id="rId6"/>
    <sheet name="6_Risk_Modeling" sheetId="7" r:id="rId7"/>
    <sheet name="7_Advanced_Insights" sheetId="8" r:id="rId8"/>
    <sheet name="8_Financial_Model" sheetId="9" r:id="rId9"/>
    <sheet name="9_Analytics_Viz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A18" i="8" a="1"/>
  <c r="A18" i="8" s="1"/>
  <c r="G21" i="4" a="1"/>
  <c r="G21" i="4" s="1"/>
  <c r="G21" i="9"/>
  <c r="H21" i="9" s="1"/>
  <c r="G20" i="9"/>
  <c r="H20" i="9" s="1"/>
  <c r="G19" i="9"/>
  <c r="H19" i="9" s="1"/>
  <c r="F19" i="8"/>
  <c r="F17" i="8"/>
  <c r="F16" i="8"/>
  <c r="E19" i="7"/>
  <c r="E18" i="7"/>
  <c r="E17" i="7"/>
  <c r="E16" i="7"/>
  <c r="E19" i="6"/>
  <c r="E18" i="6"/>
  <c r="E17" i="6"/>
  <c r="E16" i="6"/>
  <c r="E23" i="5"/>
  <c r="E22" i="5"/>
  <c r="E21" i="5"/>
  <c r="E20" i="5"/>
  <c r="E19" i="5"/>
  <c r="E18" i="5"/>
  <c r="E17" i="5"/>
  <c r="G22" i="4"/>
  <c r="G20" i="4"/>
  <c r="G19" i="4"/>
  <c r="G18" i="4"/>
  <c r="G17" i="4"/>
  <c r="I21" i="3"/>
  <c r="I20" i="3"/>
  <c r="I19" i="3"/>
  <c r="I18" i="3"/>
  <c r="I17" i="3"/>
  <c r="I25" i="2"/>
  <c r="I24" i="2"/>
  <c r="I23" i="2"/>
  <c r="I22" i="2"/>
  <c r="I21" i="2"/>
  <c r="I20" i="2"/>
  <c r="J21" i="9"/>
  <c r="J19" i="9"/>
  <c r="J20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<sst xmlns="http://schemas.openxmlformats.org/spreadsheetml/2006/main" count="866" uniqueCount="238">
  <si>
    <t>OMNI DATA ANALYSIS PROFESSIONAL CERTIFICATION</t>
  </si>
  <si>
    <t>Program Overview</t>
  </si>
  <si>
    <t>Module</t>
  </si>
  <si>
    <t>Topic</t>
  </si>
  <si>
    <t>Industry Use Case</t>
  </si>
  <si>
    <t>Difficulty</t>
  </si>
  <si>
    <t>1</t>
  </si>
  <si>
    <t>Advanced Excel Formulas</t>
  </si>
  <si>
    <t>HR Payroll Automation</t>
  </si>
  <si>
    <t>Medium</t>
  </si>
  <si>
    <t>2</t>
  </si>
  <si>
    <t>Sales Analytics</t>
  </si>
  <si>
    <t>Retail Business Intelligence</t>
  </si>
  <si>
    <t>Hard</t>
  </si>
  <si>
    <t>3</t>
  </si>
  <si>
    <t>Data Engineering</t>
  </si>
  <si>
    <t>CRM Cleaning Pipeline</t>
  </si>
  <si>
    <t>Easy</t>
  </si>
  <si>
    <t>4</t>
  </si>
  <si>
    <t>Descriptive Statistics</t>
  </si>
  <si>
    <t>Real Estate Market Analysis</t>
  </si>
  <si>
    <t>5</t>
  </si>
  <si>
    <t>Inferential Statistics</t>
  </si>
  <si>
    <t>A/B Testing for Product Teams</t>
  </si>
  <si>
    <t>6</t>
  </si>
  <si>
    <t>Probability &amp; Risk</t>
  </si>
  <si>
    <t>Financial Portfolio Modeling</t>
  </si>
  <si>
    <t>Advanced</t>
  </si>
  <si>
    <t>Workbook Features</t>
  </si>
  <si>
    <t>✔ Real-world business datasets</t>
  </si>
  <si>
    <t>✔ Industry-level Excel formulas</t>
  </si>
  <si>
    <t>✔ Guided practical exercises</t>
  </si>
  <si>
    <t>✔ Statistical analysis examples</t>
  </si>
  <si>
    <t>✔ Visualization &amp; charting</t>
  </si>
  <si>
    <t>✔ Interview-oriented tasks</t>
  </si>
  <si>
    <t>✔ Automation examples</t>
  </si>
  <si>
    <t>✔ Financial analytics</t>
  </si>
  <si>
    <t>Module 1: Advanced Excel Formulas</t>
  </si>
  <si>
    <t>HR Payroll &amp; Performance Dataset</t>
  </si>
  <si>
    <t>Employee</t>
  </si>
  <si>
    <t>Department</t>
  </si>
  <si>
    <t>Performance_Score</t>
  </si>
  <si>
    <t>Salary</t>
  </si>
  <si>
    <t>Region</t>
  </si>
  <si>
    <t>Arjun</t>
  </si>
  <si>
    <t>Sanya</t>
  </si>
  <si>
    <t>Kabir</t>
  </si>
  <si>
    <t>Riya</t>
  </si>
  <si>
    <t>Ishaan</t>
  </si>
  <si>
    <t>Ananya</t>
  </si>
  <si>
    <t>Rohan</t>
  </si>
  <si>
    <t>Myra</t>
  </si>
  <si>
    <t>Sales</t>
  </si>
  <si>
    <t>Tech</t>
  </si>
  <si>
    <t>HR</t>
  </si>
  <si>
    <t>Marketing</t>
  </si>
  <si>
    <t>Finance</t>
  </si>
  <si>
    <t>North</t>
  </si>
  <si>
    <t>West</t>
  </si>
  <si>
    <t>South</t>
  </si>
  <si>
    <t>East</t>
  </si>
  <si>
    <t>🎯 PRACTICAL TASKS</t>
  </si>
  <si>
    <t>1. Find employee salary using XLOOKUP</t>
  </si>
  <si>
    <t>2. Create performance bonus using IF</t>
  </si>
  <si>
    <t>3. Calculate Tech department total salary</t>
  </si>
  <si>
    <t>4. Find highest salary using MAX</t>
  </si>
  <si>
    <t>5. Count employees in Sales department</t>
  </si>
  <si>
    <t>6. Calculate average performance score</t>
  </si>
  <si>
    <t>7. Use FILTER to extract Tech employees</t>
  </si>
  <si>
    <t>8. Use INDEX + MATCH instead of VLOOKUP</t>
  </si>
  <si>
    <t>📘 FORMULA EXAMPLES</t>
  </si>
  <si>
    <t>XLOOKUP</t>
  </si>
  <si>
    <t>SUMIFS</t>
  </si>
  <si>
    <t>AVERAGE</t>
  </si>
  <si>
    <t>MAX</t>
  </si>
  <si>
    <t>MIN</t>
  </si>
  <si>
    <t>COUNTIF</t>
  </si>
  <si>
    <t>IF</t>
  </si>
  <si>
    <t>INDEX MATCH</t>
  </si>
  <si>
    <t>Module 2: Sales Analytics &amp; BI</t>
  </si>
  <si>
    <t>Date</t>
  </si>
  <si>
    <t>Category</t>
  </si>
  <si>
    <t>Profit</t>
  </si>
  <si>
    <t>Office Supplies</t>
  </si>
  <si>
    <t>Technology</t>
  </si>
  <si>
    <t>Furniture</t>
  </si>
  <si>
    <t>🎯 ANALYTICS TASKS</t>
  </si>
  <si>
    <t>1. Create Pivot Table for Sales by Region</t>
  </si>
  <si>
    <t>2. Find most profitable category</t>
  </si>
  <si>
    <t>3. Apply conditional formatting</t>
  </si>
  <si>
    <t>4. Create monthly sales trend chart</t>
  </si>
  <si>
    <t>5. Calculate Profit Margin</t>
  </si>
  <si>
    <t>6. Find top 5 highest sales days</t>
  </si>
  <si>
    <t>7. Build dashboard KPI cards</t>
  </si>
  <si>
    <t>📘 ANALYTICS EXAMPLES</t>
  </si>
  <si>
    <t>Profit Margin</t>
  </si>
  <si>
    <t>Total Sales</t>
  </si>
  <si>
    <t>Average Profit</t>
  </si>
  <si>
    <t>Highest Sale</t>
  </si>
  <si>
    <t>Lowest Profit</t>
  </si>
  <si>
    <t>Module 3: Data Engineering &amp; Cleaning</t>
  </si>
  <si>
    <t>Raw_Name</t>
  </si>
  <si>
    <t>Phone</t>
  </si>
  <si>
    <t>Tags</t>
  </si>
  <si>
    <t xml:space="preserve">  john doe</t>
  </si>
  <si>
    <t>PRIYA SHARMA</t>
  </si>
  <si>
    <t>rahul_99</t>
  </si>
  <si>
    <t xml:space="preserve">  ananya</t>
  </si>
  <si>
    <t>9876543210</t>
  </si>
  <si>
    <t>+91-9998887777</t>
  </si>
  <si>
    <t>unknown</t>
  </si>
  <si>
    <t>8887776665</t>
  </si>
  <si>
    <t>VIP;NEW</t>
  </si>
  <si>
    <t>B2B;VIP</t>
  </si>
  <si>
    <t>OLD</t>
  </si>
  <si>
    <t>NEW</t>
  </si>
  <si>
    <t>🎯 CLEANING TASKS</t>
  </si>
  <si>
    <t>1. Remove extra spaces using TRIM</t>
  </si>
  <si>
    <t>2. Convert names using PROPER</t>
  </si>
  <si>
    <t>3. Split Tags using delimiter</t>
  </si>
  <si>
    <t>4. Remove invalid phone numbers</t>
  </si>
  <si>
    <t>5. Standardize country codes</t>
  </si>
  <si>
    <t>6. Remove duplicates</t>
  </si>
  <si>
    <t>7. Identify null values</t>
  </si>
  <si>
    <t>📘 DATA CLEANING EXAMPLES</t>
  </si>
  <si>
    <t>TRIM</t>
  </si>
  <si>
    <t>PROPER</t>
  </si>
  <si>
    <t>LOWER</t>
  </si>
  <si>
    <t>UPPER</t>
  </si>
  <si>
    <t>TEXTSPLIT</t>
  </si>
  <si>
    <t>LEN</t>
  </si>
  <si>
    <t>Module 4: Descriptive Statistics</t>
  </si>
  <si>
    <t>House_Price</t>
  </si>
  <si>
    <t>🎯 STATISTICS TASKS</t>
  </si>
  <si>
    <t>1. Calculate Mean</t>
  </si>
  <si>
    <t>2. Calculate Median</t>
  </si>
  <si>
    <t>3. Find Mode</t>
  </si>
  <si>
    <t>4. Measure Standard Deviation</t>
  </si>
  <si>
    <t>5. Identify Skewness</t>
  </si>
  <si>
    <t>6. Detect Outliers</t>
  </si>
  <si>
    <t>7. Create Histogram</t>
  </si>
  <si>
    <t>📘 STATISTICAL FORMULAS</t>
  </si>
  <si>
    <t>MEDIAN</t>
  </si>
  <si>
    <t>MODE</t>
  </si>
  <si>
    <t>STDEV</t>
  </si>
  <si>
    <t>VARIANCE</t>
  </si>
  <si>
    <t>SKEWNESS</t>
  </si>
  <si>
    <t>QUARTILE</t>
  </si>
  <si>
    <t>Module 5: Inferential Statistics &amp; A/B Testing</t>
  </si>
  <si>
    <t>Control_A</t>
  </si>
  <si>
    <t>Variant_B</t>
  </si>
  <si>
    <t>🎯 HYPOTHESIS TEST TASKS</t>
  </si>
  <si>
    <t>1. Perform T-Test</t>
  </si>
  <si>
    <t>2. Compare conversion rates</t>
  </si>
  <si>
    <t>3. Calculate p-value</t>
  </si>
  <si>
    <t>4. Interpret statistical significance</t>
  </si>
  <si>
    <t>5. Build confidence intervals</t>
  </si>
  <si>
    <t>6. Decide winning variant</t>
  </si>
  <si>
    <t>📘 INFERENTIAL EXAMPLES</t>
  </si>
  <si>
    <t>T.TEST</t>
  </si>
  <si>
    <t>AVERAGE A</t>
  </si>
  <si>
    <t>AVERAGE B</t>
  </si>
  <si>
    <t>COUNT</t>
  </si>
  <si>
    <t>Module 6: Probability &amp; Financial Risk</t>
  </si>
  <si>
    <t>Daily_Return</t>
  </si>
  <si>
    <t>🎯 RISK ANALYSIS TASKS</t>
  </si>
  <si>
    <t>1. Calculate volatility</t>
  </si>
  <si>
    <t>2. Measure Value at Risk</t>
  </si>
  <si>
    <t>3. Create normal distribution chart</t>
  </si>
  <si>
    <t>4. Find probability of loss</t>
  </si>
  <si>
    <t>5. Simulate portfolio returns</t>
  </si>
  <si>
    <t>6. Compare expected vs actual returns</t>
  </si>
  <si>
    <t>📘 PROBABILITY EXAMPLES</t>
  </si>
  <si>
    <t>NORM.DIST</t>
  </si>
  <si>
    <t>NORM.INV</t>
  </si>
  <si>
    <t>Module 7: Log Cleaning &amp; Advanced Visual Analytics</t>
  </si>
  <si>
    <t>Raw_Data_Log</t>
  </si>
  <si>
    <t>Leads_Generated</t>
  </si>
  <si>
    <t>Actual_Conversions</t>
  </si>
  <si>
    <t>2026-05-10 | search_ads | $$450.50 | "RE_ENGAGEMENT"</t>
  </si>
  <si>
    <t>2026-05-11 | social_media | $$1200.00 | "AWARENESS"</t>
  </si>
  <si>
    <t>2026-05-12 | email_blast | $$85.20 | "CONVERSION"</t>
  </si>
  <si>
    <t>2026-05-13 | search_ads | $$600.00 | "CONVERSION"</t>
  </si>
  <si>
    <t>2026-05-14 | influencer | $$2500.00 | "AWARENESS"</t>
  </si>
  <si>
    <t>2026-05-15 | social_media | $$950.00 | "RE_ENGAGEMENT"</t>
  </si>
  <si>
    <t>2026-05-16 | email_blast | $$110.00 | "RETENTION"</t>
  </si>
  <si>
    <t>2026-05-17 | affiliate | $$400.00 | "CONVERSION"</t>
  </si>
  <si>
    <t>🎯 CLEANING TASKS (FORMULAS ONLY)</t>
  </si>
  <si>
    <t>1. Extract Platform Name from Log string</t>
  </si>
  <si>
    <t>2. Extract Numeric Spend (remove $$ and |)</t>
  </si>
  <si>
    <t>3. Clean Intent Tag (remove quotes)</t>
  </si>
  <si>
    <t>4. Calculate Cost Per Acquisition (CPA)</t>
  </si>
  <si>
    <t>5. Calculate Conversion Rate (%)</t>
  </si>
  <si>
    <t>6. Create a 'Performance Score' column</t>
  </si>
  <si>
    <t>📘 ADVANCED STRING FORMULAS</t>
  </si>
  <si>
    <t>Platform</t>
  </si>
  <si>
    <t>Clean Spend</t>
  </si>
  <si>
    <t>Intent</t>
  </si>
  <si>
    <t>CPA</t>
  </si>
  <si>
    <t>Module 8: Financial Modeling &amp; Sensitivity Analysis</t>
  </si>
  <si>
    <t>Year</t>
  </si>
  <si>
    <t>Base_Revenue</t>
  </si>
  <si>
    <t>Growth_Rate</t>
  </si>
  <si>
    <t>Cost_Rate</t>
  </si>
  <si>
    <t>🎯 FINANCIAL MODELING TASKS</t>
  </si>
  <si>
    <t>1. Calculate Revenue for 5 Years</t>
  </si>
  <si>
    <t>2. Calculate Gross Profit</t>
  </si>
  <si>
    <t>3. Calculate EBITDA</t>
  </si>
  <si>
    <t>4. Build Sensitivity Grid (Cost vs Growth)</t>
  </si>
  <si>
    <t>5. Calculate Net Present Value</t>
  </si>
  <si>
    <t>6. Build Monte Carlo Simulation</t>
  </si>
  <si>
    <t>📘 SENSITIVITY GRID SETUP</t>
  </si>
  <si>
    <t>Row Headers: Growth Rate (%)</t>
  </si>
  <si>
    <t>Col Headers: Cost Rate (%)</t>
  </si>
  <si>
    <t>Module 9: Sales Analytics &amp; Visualization</t>
  </si>
  <si>
    <t>Salesperson</t>
  </si>
  <si>
    <t>Units_Sold</t>
  </si>
  <si>
    <t>Revenue</t>
  </si>
  <si>
    <t>Ravi</t>
  </si>
  <si>
    <t>Priya</t>
  </si>
  <si>
    <t>Amit</t>
  </si>
  <si>
    <t>Sneha</t>
  </si>
  <si>
    <t>🎯 DATA ANALYTICS TASKS</t>
  </si>
  <si>
    <t>1. Calculate Total Revenue by Region</t>
  </si>
  <si>
    <t>2. Find Top Salesperson in North</t>
  </si>
  <si>
    <t>3. Compare Regional Performance</t>
  </si>
  <si>
    <t>4. Calculate Units per Salesperson</t>
  </si>
  <si>
    <t>5. Create Dashboard Layout</t>
  </si>
  <si>
    <t>📘 PIVOT TABLE SETUP</t>
  </si>
  <si>
    <t>Data Range: A6:D15</t>
  </si>
  <si>
    <t>Pivot Destination: A18</t>
  </si>
  <si>
    <t>1. Select Data Range (A6:D15)</t>
  </si>
  <si>
    <t>2. Insert &gt; PivotTable</t>
  </si>
  <si>
    <t>3. Choose 'Existing Worksheet' -&gt; $A$18</t>
  </si>
  <si>
    <t>4. Drag 'Region' to Rows</t>
  </si>
  <si>
    <t>5. Drag 'Revenue' to Values (Sum)</t>
  </si>
  <si>
    <t>6. Drag 'Salesperson' to Values (Count)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</si>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</sst>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24"/>
      <color rgb="FF1F4E78"/>
      <name val="Calibri"/>
      <family val="2"/>
      <scheme val="minor"/>
    </font>
    <font>
      <b/>
      <sz val="16"/>
      <color rgb="FF0B539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40404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274E1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7" fillId="4" borderId="1" xfId="0" applyFont="1" applyFill="1" applyBorder="1"/>
    <xf numFmtId="164" fontId="0" fillId="0" borderId="0" xfId="0" applyNumberFormat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Portfolio Return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 Returns</c:v>
          </c:tx>
          <c:marker>
            <c:symbol val="none"/>
          </c:marker>
          <c:cat>
            <c:numRef>
              <c:f>'6_Risk_Modeling'!$A$6:$A$255</c:f>
              <c:numCache>
                <c:formatCode>General</c:formatCode>
                <c:ptCount val="250"/>
                <c:pt idx="0">
                  <c:v>1.5245429790117559E-2</c:v>
                </c:pt>
                <c:pt idx="1">
                  <c:v>3.40451266868426E-3</c:v>
                </c:pt>
                <c:pt idx="2">
                  <c:v>-1.3443626158539451E-2</c:v>
                </c:pt>
                <c:pt idx="3">
                  <c:v>5.3584252626005462E-2</c:v>
                </c:pt>
                <c:pt idx="4">
                  <c:v>1.92474922792574E-2</c:v>
                </c:pt>
                <c:pt idx="5">
                  <c:v>-3.0954238395468171E-2</c:v>
                </c:pt>
                <c:pt idx="6">
                  <c:v>-9.3251203187425385E-3</c:v>
                </c:pt>
                <c:pt idx="7">
                  <c:v>1.9635521948174112E-2</c:v>
                </c:pt>
                <c:pt idx="8">
                  <c:v>-1.499077842465368E-2</c:v>
                </c:pt>
                <c:pt idx="9">
                  <c:v>8.0309591765177768E-3</c:v>
                </c:pt>
                <c:pt idx="10">
                  <c:v>2.0015926006722959E-2</c:v>
                </c:pt>
                <c:pt idx="11">
                  <c:v>-6.6768561653127861E-2</c:v>
                </c:pt>
                <c:pt idx="12">
                  <c:v>-1.160753995785007E-3</c:v>
                </c:pt>
                <c:pt idx="13">
                  <c:v>-3.758169286975632E-4</c:v>
                </c:pt>
                <c:pt idx="14">
                  <c:v>-7.2414491136757924E-3</c:v>
                </c:pt>
                <c:pt idx="15">
                  <c:v>7.0339026989208178E-3</c:v>
                </c:pt>
                <c:pt idx="16">
                  <c:v>1.4150392149917489E-2</c:v>
                </c:pt>
                <c:pt idx="17">
                  <c:v>3.8410188864921842E-3</c:v>
                </c:pt>
                <c:pt idx="18">
                  <c:v>-6.4765478809886432E-3</c:v>
                </c:pt>
                <c:pt idx="19">
                  <c:v>1.3652425995685389E-2</c:v>
                </c:pt>
                <c:pt idx="20">
                  <c:v>1.9810681854871412E-3</c:v>
                </c:pt>
                <c:pt idx="21">
                  <c:v>-3.6140082639095641E-3</c:v>
                </c:pt>
                <c:pt idx="22">
                  <c:v>-2.5245587706778379E-2</c:v>
                </c:pt>
                <c:pt idx="23">
                  <c:v>-3.0253095705321569E-2</c:v>
                </c:pt>
                <c:pt idx="24">
                  <c:v>-2.562459585428141E-2</c:v>
                </c:pt>
                <c:pt idx="25">
                  <c:v>6.5665812244042982E-3</c:v>
                </c:pt>
                <c:pt idx="26">
                  <c:v>-5.8157495212703332E-4</c:v>
                </c:pt>
                <c:pt idx="27">
                  <c:v>-2.8605681964149261E-2</c:v>
                </c:pt>
                <c:pt idx="28">
                  <c:v>1.391835651587622E-2</c:v>
                </c:pt>
                <c:pt idx="29">
                  <c:v>2.8486190263581901E-2</c:v>
                </c:pt>
                <c:pt idx="30">
                  <c:v>-1.0969872334326719E-2</c:v>
                </c:pt>
                <c:pt idx="31">
                  <c:v>-3.3819637147367479E-2</c:v>
                </c:pt>
                <c:pt idx="32">
                  <c:v>-1.318252769803826E-2</c:v>
                </c:pt>
                <c:pt idx="33">
                  <c:v>1.8089212535893889E-2</c:v>
                </c:pt>
                <c:pt idx="34">
                  <c:v>1.197059717069548E-2</c:v>
                </c:pt>
                <c:pt idx="35">
                  <c:v>-1.7448653720229579E-2</c:v>
                </c:pt>
                <c:pt idx="36">
                  <c:v>3.1423442755294843E-2</c:v>
                </c:pt>
                <c:pt idx="37">
                  <c:v>2.7965601318527971E-2</c:v>
                </c:pt>
                <c:pt idx="38">
                  <c:v>-1.366012126553282E-2</c:v>
                </c:pt>
                <c:pt idx="39">
                  <c:v>-1.386580005929933E-2</c:v>
                </c:pt>
                <c:pt idx="40">
                  <c:v>-1.0856558747589789E-2</c:v>
                </c:pt>
                <c:pt idx="41">
                  <c:v>-9.1466555077709191E-3</c:v>
                </c:pt>
                <c:pt idx="42">
                  <c:v>2.0010760158568879E-2</c:v>
                </c:pt>
                <c:pt idx="43">
                  <c:v>9.5065812095318815E-3</c:v>
                </c:pt>
                <c:pt idx="44">
                  <c:v>1.854157538701175E-2</c:v>
                </c:pt>
                <c:pt idx="45">
                  <c:v>1.4471302863733999E-2</c:v>
                </c:pt>
                <c:pt idx="46">
                  <c:v>3.5290541363874647E-2</c:v>
                </c:pt>
                <c:pt idx="47">
                  <c:v>-2.0187710876182811E-2</c:v>
                </c:pt>
                <c:pt idx="48">
                  <c:v>8.6071706076783251E-3</c:v>
                </c:pt>
                <c:pt idx="49">
                  <c:v>-4.2476425124693948E-2</c:v>
                </c:pt>
                <c:pt idx="50">
                  <c:v>-2.5339111481937172E-2</c:v>
                </c:pt>
                <c:pt idx="51">
                  <c:v>-4.9706771869694149E-4</c:v>
                </c:pt>
                <c:pt idx="52">
                  <c:v>9.3641322550907201E-3</c:v>
                </c:pt>
                <c:pt idx="53">
                  <c:v>-1.036314840591391E-3</c:v>
                </c:pt>
                <c:pt idx="54">
                  <c:v>-1.0343848376253569E-2</c:v>
                </c:pt>
                <c:pt idx="55">
                  <c:v>-6.7883575498607542E-3</c:v>
                </c:pt>
                <c:pt idx="56">
                  <c:v>2.8388819528482091E-2</c:v>
                </c:pt>
                <c:pt idx="57">
                  <c:v>-6.6806435576028111E-3</c:v>
                </c:pt>
                <c:pt idx="58">
                  <c:v>3.5984832440870557E-2</c:v>
                </c:pt>
                <c:pt idx="59">
                  <c:v>1.6880341470822669E-2</c:v>
                </c:pt>
                <c:pt idx="60">
                  <c:v>1.015074692296461E-2</c:v>
                </c:pt>
                <c:pt idx="61">
                  <c:v>-2.287193820641991E-2</c:v>
                </c:pt>
                <c:pt idx="62">
                  <c:v>1.9704763227992542E-2</c:v>
                </c:pt>
                <c:pt idx="63">
                  <c:v>-8.8754115549699863E-3</c:v>
                </c:pt>
                <c:pt idx="64">
                  <c:v>-2.2888795160113991E-2</c:v>
                </c:pt>
                <c:pt idx="65">
                  <c:v>1.125687226158755E-2</c:v>
                </c:pt>
                <c:pt idx="66">
                  <c:v>-2.6758921211330791E-2</c:v>
                </c:pt>
                <c:pt idx="67">
                  <c:v>-1.424482924259165E-2</c:v>
                </c:pt>
                <c:pt idx="68">
                  <c:v>7.9768177062177208E-4</c:v>
                </c:pt>
                <c:pt idx="69">
                  <c:v>4.5368428482294547E-2</c:v>
                </c:pt>
                <c:pt idx="70">
                  <c:v>-1.273831511584975E-2</c:v>
                </c:pt>
                <c:pt idx="71">
                  <c:v>-8.1643303860115084E-3</c:v>
                </c:pt>
                <c:pt idx="72">
                  <c:v>1.5646901088432901E-2</c:v>
                </c:pt>
                <c:pt idx="73">
                  <c:v>-2.3765913767520921E-2</c:v>
                </c:pt>
                <c:pt idx="74">
                  <c:v>9.8561276204183097E-3</c:v>
                </c:pt>
                <c:pt idx="75">
                  <c:v>2.5118536152331759E-2</c:v>
                </c:pt>
                <c:pt idx="76">
                  <c:v>-5.1418976942220274E-3</c:v>
                </c:pt>
                <c:pt idx="77">
                  <c:v>2.1523085627937311E-2</c:v>
                </c:pt>
                <c:pt idx="78">
                  <c:v>6.8289984642361254E-3</c:v>
                </c:pt>
                <c:pt idx="79">
                  <c:v>-1.3613639276075611E-2</c:v>
                </c:pt>
                <c:pt idx="80">
                  <c:v>-2.9560937179301272E-3</c:v>
                </c:pt>
                <c:pt idx="81">
                  <c:v>-6.5951467996048421E-3</c:v>
                </c:pt>
                <c:pt idx="82">
                  <c:v>-7.5276515632955072E-4</c:v>
                </c:pt>
                <c:pt idx="83">
                  <c:v>4.0543579843965701E-3</c:v>
                </c:pt>
                <c:pt idx="84">
                  <c:v>1.2763998699437141E-2</c:v>
                </c:pt>
                <c:pt idx="85">
                  <c:v>1.117336499174271E-2</c:v>
                </c:pt>
                <c:pt idx="86">
                  <c:v>-4.7634271425242958E-2</c:v>
                </c:pt>
                <c:pt idx="87">
                  <c:v>-9.4616377544053478E-4</c:v>
                </c:pt>
                <c:pt idx="88">
                  <c:v>-2.9188438268135251E-2</c:v>
                </c:pt>
                <c:pt idx="89">
                  <c:v>-4.5145450493465156E-3</c:v>
                </c:pt>
                <c:pt idx="90">
                  <c:v>-1.4757917562183991E-3</c:v>
                </c:pt>
                <c:pt idx="91">
                  <c:v>2.0522967161694178E-2</c:v>
                </c:pt>
                <c:pt idx="92">
                  <c:v>3.976906579980081E-4</c:v>
                </c:pt>
                <c:pt idx="93">
                  <c:v>6.1843603668652004E-3</c:v>
                </c:pt>
                <c:pt idx="94">
                  <c:v>1.6861127613148581E-2</c:v>
                </c:pt>
                <c:pt idx="95">
                  <c:v>2.5555045196386E-2</c:v>
                </c:pt>
                <c:pt idx="96">
                  <c:v>-1.4602784671382089E-3</c:v>
                </c:pt>
                <c:pt idx="97">
                  <c:v>2.8835888336081771E-3</c:v>
                </c:pt>
                <c:pt idx="98">
                  <c:v>1.2004660448450739E-3</c:v>
                </c:pt>
                <c:pt idx="99">
                  <c:v>-9.8519792886215263E-3</c:v>
                </c:pt>
                <c:pt idx="100">
                  <c:v>-1.4382304468847799E-2</c:v>
                </c:pt>
                <c:pt idx="101">
                  <c:v>-4.4437718328518713E-2</c:v>
                </c:pt>
                <c:pt idx="102">
                  <c:v>-2.053321869048659E-2</c:v>
                </c:pt>
                <c:pt idx="103">
                  <c:v>-3.4572616664196067E-2</c:v>
                </c:pt>
                <c:pt idx="104">
                  <c:v>2.6103969689065049E-2</c:v>
                </c:pt>
                <c:pt idx="105">
                  <c:v>4.7683201659485678E-3</c:v>
                </c:pt>
                <c:pt idx="106">
                  <c:v>-1.518779458936673E-3</c:v>
                </c:pt>
                <c:pt idx="107">
                  <c:v>-1.334970372162163E-2</c:v>
                </c:pt>
                <c:pt idx="108">
                  <c:v>1.5955852646924781E-3</c:v>
                </c:pt>
                <c:pt idx="109">
                  <c:v>-1.5959597553106681E-2</c:v>
                </c:pt>
                <c:pt idx="110">
                  <c:v>4.480371132412073E-3</c:v>
                </c:pt>
                <c:pt idx="111">
                  <c:v>5.914679658427068E-3</c:v>
                </c:pt>
                <c:pt idx="112">
                  <c:v>-1.622767404713487E-2</c:v>
                </c:pt>
                <c:pt idx="113">
                  <c:v>-1.6609239296448121E-2</c:v>
                </c:pt>
                <c:pt idx="114">
                  <c:v>2.0243987091902348E-2</c:v>
                </c:pt>
                <c:pt idx="115">
                  <c:v>-5.7199085826006213E-5</c:v>
                </c:pt>
                <c:pt idx="116">
                  <c:v>-1.462040858529782E-2</c:v>
                </c:pt>
                <c:pt idx="117">
                  <c:v>-6.4101260337903806E-3</c:v>
                </c:pt>
                <c:pt idx="118">
                  <c:v>-1.9211881734132141E-2</c:v>
                </c:pt>
                <c:pt idx="119">
                  <c:v>-3.4367161323833781E-4</c:v>
                </c:pt>
                <c:pt idx="120">
                  <c:v>1.763256615328937E-2</c:v>
                </c:pt>
                <c:pt idx="121">
                  <c:v>4.4658664811477231E-4</c:v>
                </c:pt>
                <c:pt idx="122">
                  <c:v>4.8272668873507688E-2</c:v>
                </c:pt>
                <c:pt idx="123">
                  <c:v>9.427191360980032E-3</c:v>
                </c:pt>
                <c:pt idx="124">
                  <c:v>5.5990889568442474E-3</c:v>
                </c:pt>
                <c:pt idx="125">
                  <c:v>-1.7166042619316119E-2</c:v>
                </c:pt>
                <c:pt idx="126">
                  <c:v>-3.7706689368533358E-3</c:v>
                </c:pt>
                <c:pt idx="127">
                  <c:v>-1.4580276860673839E-2</c:v>
                </c:pt>
                <c:pt idx="128">
                  <c:v>-4.2312904568082482E-2</c:v>
                </c:pt>
                <c:pt idx="129">
                  <c:v>2.0485244442576149E-2</c:v>
                </c:pt>
                <c:pt idx="130">
                  <c:v>-9.2290111110046209E-3</c:v>
                </c:pt>
                <c:pt idx="131">
                  <c:v>-1.420800148666612E-2</c:v>
                </c:pt>
                <c:pt idx="132">
                  <c:v>5.2114006791692969E-3</c:v>
                </c:pt>
                <c:pt idx="133">
                  <c:v>1.124999104443034E-2</c:v>
                </c:pt>
                <c:pt idx="134">
                  <c:v>-5.4154966581255754E-3</c:v>
                </c:pt>
                <c:pt idx="135">
                  <c:v>9.4796664781963275E-4</c:v>
                </c:pt>
                <c:pt idx="136">
                  <c:v>1.592374814628806E-2</c:v>
                </c:pt>
                <c:pt idx="137">
                  <c:v>-6.2038718921989533E-3</c:v>
                </c:pt>
                <c:pt idx="138">
                  <c:v>7.0466748352666798E-3</c:v>
                </c:pt>
                <c:pt idx="139">
                  <c:v>-3.2184892367783012E-2</c:v>
                </c:pt>
                <c:pt idx="140">
                  <c:v>-2.3826379968554971E-2</c:v>
                </c:pt>
                <c:pt idx="141">
                  <c:v>1.3110795561608071E-2</c:v>
                </c:pt>
                <c:pt idx="142">
                  <c:v>-2.4871172783345968E-2</c:v>
                </c:pt>
                <c:pt idx="143">
                  <c:v>5.6827509422659218E-3</c:v>
                </c:pt>
                <c:pt idx="144">
                  <c:v>-1.939975643941454E-3</c:v>
                </c:pt>
                <c:pt idx="145">
                  <c:v>-6.2893452504045764E-3</c:v>
                </c:pt>
                <c:pt idx="146">
                  <c:v>-1.5569255379354561E-2</c:v>
                </c:pt>
                <c:pt idx="147">
                  <c:v>1.9186800362107511E-2</c:v>
                </c:pt>
                <c:pt idx="148">
                  <c:v>3.5597823090396712E-2</c:v>
                </c:pt>
                <c:pt idx="149">
                  <c:v>7.0038432520038892E-3</c:v>
                </c:pt>
                <c:pt idx="150">
                  <c:v>7.449814313456345E-3</c:v>
                </c:pt>
                <c:pt idx="151">
                  <c:v>-1.264661259714988E-2</c:v>
                </c:pt>
                <c:pt idx="152">
                  <c:v>-2.2921944636487598E-2</c:v>
                </c:pt>
                <c:pt idx="153">
                  <c:v>2.0522190387650929E-4</c:v>
                </c:pt>
                <c:pt idx="154">
                  <c:v>-1.847499295916152E-2</c:v>
                </c:pt>
                <c:pt idx="155">
                  <c:v>-3.4452202566316432E-2</c:v>
                </c:pt>
                <c:pt idx="156">
                  <c:v>1.706891624731165E-2</c:v>
                </c:pt>
                <c:pt idx="157">
                  <c:v>1.804333576503666E-2</c:v>
                </c:pt>
                <c:pt idx="158">
                  <c:v>-1.617677545906189E-2</c:v>
                </c:pt>
                <c:pt idx="159">
                  <c:v>5.8792864255848851E-3</c:v>
                </c:pt>
                <c:pt idx="160">
                  <c:v>2.103904535583534E-2</c:v>
                </c:pt>
                <c:pt idx="161">
                  <c:v>5.1005337412375782E-3</c:v>
                </c:pt>
                <c:pt idx="162">
                  <c:v>-2.2863092921974668E-2</c:v>
                </c:pt>
                <c:pt idx="163">
                  <c:v>-3.657868264741973E-3</c:v>
                </c:pt>
                <c:pt idx="164">
                  <c:v>2.7536188400839819E-2</c:v>
                </c:pt>
                <c:pt idx="165">
                  <c:v>5.9405328721022577E-3</c:v>
                </c:pt>
                <c:pt idx="166">
                  <c:v>1.1782642063656109E-2</c:v>
                </c:pt>
                <c:pt idx="167">
                  <c:v>7.832584387382286E-3</c:v>
                </c:pt>
                <c:pt idx="168">
                  <c:v>-1.611022715956506E-2</c:v>
                </c:pt>
                <c:pt idx="169">
                  <c:v>-1.1416904385652861E-2</c:v>
                </c:pt>
                <c:pt idx="170">
                  <c:v>7.7773031410348472E-3</c:v>
                </c:pt>
                <c:pt idx="171">
                  <c:v>1.7337435600408159E-2</c:v>
                </c:pt>
                <c:pt idx="172">
                  <c:v>2.299809901835765E-2</c:v>
                </c:pt>
                <c:pt idx="173">
                  <c:v>-1.616211089536387E-2</c:v>
                </c:pt>
                <c:pt idx="174">
                  <c:v>9.6624106935438749E-3</c:v>
                </c:pt>
                <c:pt idx="175">
                  <c:v>2.4740882234379528E-2</c:v>
                </c:pt>
                <c:pt idx="176">
                  <c:v>-1.8741635405760449E-2</c:v>
                </c:pt>
                <c:pt idx="177">
                  <c:v>3.0734942715995479E-2</c:v>
                </c:pt>
                <c:pt idx="178">
                  <c:v>3.3778816546883798E-2</c:v>
                </c:pt>
                <c:pt idx="179">
                  <c:v>5.3501726792433223E-2</c:v>
                </c:pt>
                <c:pt idx="180">
                  <c:v>5.6186688165998947E-3</c:v>
                </c:pt>
                <c:pt idx="181">
                  <c:v>5.7284935252489722E-3</c:v>
                </c:pt>
                <c:pt idx="182">
                  <c:v>1.7539887782346351E-2</c:v>
                </c:pt>
                <c:pt idx="183">
                  <c:v>1.695605346098833E-2</c:v>
                </c:pt>
                <c:pt idx="184">
                  <c:v>2.3527337219912119E-2</c:v>
                </c:pt>
                <c:pt idx="185">
                  <c:v>1.6680663609302079E-2</c:v>
                </c:pt>
                <c:pt idx="186">
                  <c:v>-1.121238180760773E-3</c:v>
                </c:pt>
                <c:pt idx="187">
                  <c:v>2.5439942419470039E-2</c:v>
                </c:pt>
                <c:pt idx="188">
                  <c:v>-2.042508299385451E-2</c:v>
                </c:pt>
                <c:pt idx="189">
                  <c:v>1.117046734507529E-3</c:v>
                </c:pt>
                <c:pt idx="190">
                  <c:v>3.2274712320995977E-2</c:v>
                </c:pt>
                <c:pt idx="191">
                  <c:v>-2.4004929962406388E-2</c:v>
                </c:pt>
                <c:pt idx="192">
                  <c:v>-1.254951313994326E-2</c:v>
                </c:pt>
                <c:pt idx="193">
                  <c:v>1.4434945821545831E-2</c:v>
                </c:pt>
                <c:pt idx="194">
                  <c:v>8.8782394647230478E-3</c:v>
                </c:pt>
                <c:pt idx="195">
                  <c:v>-1.6500508153124899E-2</c:v>
                </c:pt>
                <c:pt idx="196">
                  <c:v>-7.3238800546028106E-3</c:v>
                </c:pt>
                <c:pt idx="197">
                  <c:v>-2.2615641253006781E-2</c:v>
                </c:pt>
                <c:pt idx="198">
                  <c:v>2.0609699990411449E-2</c:v>
                </c:pt>
                <c:pt idx="199">
                  <c:v>-4.1176271534106336E-3</c:v>
                </c:pt>
                <c:pt idx="200">
                  <c:v>3.6843118215212647E-2</c:v>
                </c:pt>
                <c:pt idx="201">
                  <c:v>2.6220048808004298E-3</c:v>
                </c:pt>
                <c:pt idx="202">
                  <c:v>-3.3948060680575359E-3</c:v>
                </c:pt>
                <c:pt idx="203">
                  <c:v>-5.3364352258359529E-3</c:v>
                </c:pt>
                <c:pt idx="204">
                  <c:v>-3.8839967038485669E-3</c:v>
                </c:pt>
                <c:pt idx="205">
                  <c:v>3.2164219026760599E-3</c:v>
                </c:pt>
                <c:pt idx="206">
                  <c:v>5.124815153156638E-2</c:v>
                </c:pt>
                <c:pt idx="207">
                  <c:v>-5.7771934019871882E-3</c:v>
                </c:pt>
                <c:pt idx="208">
                  <c:v>-5.1270692154261896E-3</c:v>
                </c:pt>
                <c:pt idx="209">
                  <c:v>2.3118769136635719E-3</c:v>
                </c:pt>
                <c:pt idx="210">
                  <c:v>2.2805490126885201E-2</c:v>
                </c:pt>
                <c:pt idx="211">
                  <c:v>-2.7419691221455579E-2</c:v>
                </c:pt>
                <c:pt idx="212">
                  <c:v>1.010185473819291E-2</c:v>
                </c:pt>
                <c:pt idx="213">
                  <c:v>-1.534850352042324E-2</c:v>
                </c:pt>
                <c:pt idx="214">
                  <c:v>1.206545377901898E-2</c:v>
                </c:pt>
                <c:pt idx="215">
                  <c:v>-8.8751988472091231E-3</c:v>
                </c:pt>
                <c:pt idx="216">
                  <c:v>-4.5082046795145728E-2</c:v>
                </c:pt>
                <c:pt idx="217">
                  <c:v>8.3915520537497061E-3</c:v>
                </c:pt>
                <c:pt idx="218">
                  <c:v>8.2228954069373736E-3</c:v>
                </c:pt>
                <c:pt idx="219">
                  <c:v>-1.05816061695886E-2</c:v>
                </c:pt>
                <c:pt idx="220">
                  <c:v>-1.176687720286005E-2</c:v>
                </c:pt>
                <c:pt idx="221">
                  <c:v>-2.5227454501753049E-2</c:v>
                </c:pt>
                <c:pt idx="222">
                  <c:v>1.6461998830777431E-2</c:v>
                </c:pt>
                <c:pt idx="223">
                  <c:v>1.8644315649336159E-2</c:v>
                </c:pt>
                <c:pt idx="224">
                  <c:v>-1.65810177035178E-2</c:v>
                </c:pt>
                <c:pt idx="225">
                  <c:v>-9.798689190777015E-3</c:v>
                </c:pt>
                <c:pt idx="226">
                  <c:v>-2.6578242277926949E-4</c:v>
                </c:pt>
                <c:pt idx="227">
                  <c:v>4.6417305620710933E-2</c:v>
                </c:pt>
                <c:pt idx="228">
                  <c:v>1.190243495177864E-2</c:v>
                </c:pt>
                <c:pt idx="229">
                  <c:v>-1.786831030016758E-2</c:v>
                </c:pt>
                <c:pt idx="230">
                  <c:v>7.0756061898101102E-3</c:v>
                </c:pt>
                <c:pt idx="231">
                  <c:v>-2.653383081276163E-2</c:v>
                </c:pt>
                <c:pt idx="232">
                  <c:v>1.535980619832342E-2</c:v>
                </c:pt>
                <c:pt idx="233">
                  <c:v>3.4510947870889708E-2</c:v>
                </c:pt>
                <c:pt idx="234">
                  <c:v>3.4595833701679173E-2</c:v>
                </c:pt>
                <c:pt idx="235">
                  <c:v>1.569787006948677E-2</c:v>
                </c:pt>
                <c:pt idx="236">
                  <c:v>-1.0668247117362591E-2</c:v>
                </c:pt>
                <c:pt idx="237">
                  <c:v>-2.5018035130282518E-2</c:v>
                </c:pt>
                <c:pt idx="238">
                  <c:v>-2.700410086738218E-2</c:v>
                </c:pt>
                <c:pt idx="239">
                  <c:v>-5.5124342189970872E-2</c:v>
                </c:pt>
                <c:pt idx="240">
                  <c:v>1.4877115260158429E-2</c:v>
                </c:pt>
                <c:pt idx="241">
                  <c:v>-1.0567104044879891E-3</c:v>
                </c:pt>
                <c:pt idx="242">
                  <c:v>1.9184323329062551E-2</c:v>
                </c:pt>
                <c:pt idx="243">
                  <c:v>2.9560629704695762E-2</c:v>
                </c:pt>
                <c:pt idx="244">
                  <c:v>2.9981108780481949E-3</c:v>
                </c:pt>
                <c:pt idx="245">
                  <c:v>3.9192321942630032E-3</c:v>
                </c:pt>
                <c:pt idx="246">
                  <c:v>-8.2864068899493291E-3</c:v>
                </c:pt>
                <c:pt idx="247">
                  <c:v>-5.921688343448161E-3</c:v>
                </c:pt>
                <c:pt idx="248">
                  <c:v>1.5569398249458679E-2</c:v>
                </c:pt>
                <c:pt idx="249">
                  <c:v>-2.4875006073062098E-3</c:v>
                </c:pt>
              </c:numCache>
            </c:numRef>
          </c:cat>
          <c:val>
            <c:numRef>
              <c:f>'6_Risk_Modeling'!$A$6:$A$255</c:f>
              <c:numCache>
                <c:formatCode>General</c:formatCode>
                <c:ptCount val="250"/>
                <c:pt idx="0">
                  <c:v>1.5245429790117559E-2</c:v>
                </c:pt>
                <c:pt idx="1">
                  <c:v>3.40451266868426E-3</c:v>
                </c:pt>
                <c:pt idx="2">
                  <c:v>-1.3443626158539451E-2</c:v>
                </c:pt>
                <c:pt idx="3">
                  <c:v>5.3584252626005462E-2</c:v>
                </c:pt>
                <c:pt idx="4">
                  <c:v>1.92474922792574E-2</c:v>
                </c:pt>
                <c:pt idx="5">
                  <c:v>-3.0954238395468171E-2</c:v>
                </c:pt>
                <c:pt idx="6">
                  <c:v>-9.3251203187425385E-3</c:v>
                </c:pt>
                <c:pt idx="7">
                  <c:v>1.9635521948174112E-2</c:v>
                </c:pt>
                <c:pt idx="8">
                  <c:v>-1.499077842465368E-2</c:v>
                </c:pt>
                <c:pt idx="9">
                  <c:v>8.0309591765177768E-3</c:v>
                </c:pt>
                <c:pt idx="10">
                  <c:v>2.0015926006722959E-2</c:v>
                </c:pt>
                <c:pt idx="11">
                  <c:v>-6.6768561653127861E-2</c:v>
                </c:pt>
                <c:pt idx="12">
                  <c:v>-1.160753995785007E-3</c:v>
                </c:pt>
                <c:pt idx="13">
                  <c:v>-3.758169286975632E-4</c:v>
                </c:pt>
                <c:pt idx="14">
                  <c:v>-7.2414491136757924E-3</c:v>
                </c:pt>
                <c:pt idx="15">
                  <c:v>7.0339026989208178E-3</c:v>
                </c:pt>
                <c:pt idx="16">
                  <c:v>1.4150392149917489E-2</c:v>
                </c:pt>
                <c:pt idx="17">
                  <c:v>3.8410188864921842E-3</c:v>
                </c:pt>
                <c:pt idx="18">
                  <c:v>-6.4765478809886432E-3</c:v>
                </c:pt>
                <c:pt idx="19">
                  <c:v>1.3652425995685389E-2</c:v>
                </c:pt>
                <c:pt idx="20">
                  <c:v>1.9810681854871412E-3</c:v>
                </c:pt>
                <c:pt idx="21">
                  <c:v>-3.6140082639095641E-3</c:v>
                </c:pt>
                <c:pt idx="22">
                  <c:v>-2.5245587706778379E-2</c:v>
                </c:pt>
                <c:pt idx="23">
                  <c:v>-3.0253095705321569E-2</c:v>
                </c:pt>
                <c:pt idx="24">
                  <c:v>-2.562459585428141E-2</c:v>
                </c:pt>
                <c:pt idx="25">
                  <c:v>6.5665812244042982E-3</c:v>
                </c:pt>
                <c:pt idx="26">
                  <c:v>-5.8157495212703332E-4</c:v>
                </c:pt>
                <c:pt idx="27">
                  <c:v>-2.8605681964149261E-2</c:v>
                </c:pt>
                <c:pt idx="28">
                  <c:v>1.391835651587622E-2</c:v>
                </c:pt>
                <c:pt idx="29">
                  <c:v>2.8486190263581901E-2</c:v>
                </c:pt>
                <c:pt idx="30">
                  <c:v>-1.0969872334326719E-2</c:v>
                </c:pt>
                <c:pt idx="31">
                  <c:v>-3.3819637147367479E-2</c:v>
                </c:pt>
                <c:pt idx="32">
                  <c:v>-1.318252769803826E-2</c:v>
                </c:pt>
                <c:pt idx="33">
                  <c:v>1.8089212535893889E-2</c:v>
                </c:pt>
                <c:pt idx="34">
                  <c:v>1.197059717069548E-2</c:v>
                </c:pt>
                <c:pt idx="35">
                  <c:v>-1.7448653720229579E-2</c:v>
                </c:pt>
                <c:pt idx="36">
                  <c:v>3.1423442755294843E-2</c:v>
                </c:pt>
                <c:pt idx="37">
                  <c:v>2.7965601318527971E-2</c:v>
                </c:pt>
                <c:pt idx="38">
                  <c:v>-1.366012126553282E-2</c:v>
                </c:pt>
                <c:pt idx="39">
                  <c:v>-1.386580005929933E-2</c:v>
                </c:pt>
                <c:pt idx="40">
                  <c:v>-1.0856558747589789E-2</c:v>
                </c:pt>
                <c:pt idx="41">
                  <c:v>-9.1466555077709191E-3</c:v>
                </c:pt>
                <c:pt idx="42">
                  <c:v>2.0010760158568879E-2</c:v>
                </c:pt>
                <c:pt idx="43">
                  <c:v>9.5065812095318815E-3</c:v>
                </c:pt>
                <c:pt idx="44">
                  <c:v>1.854157538701175E-2</c:v>
                </c:pt>
                <c:pt idx="45">
                  <c:v>1.4471302863733999E-2</c:v>
                </c:pt>
                <c:pt idx="46">
                  <c:v>3.5290541363874647E-2</c:v>
                </c:pt>
                <c:pt idx="47">
                  <c:v>-2.0187710876182811E-2</c:v>
                </c:pt>
                <c:pt idx="48">
                  <c:v>8.6071706076783251E-3</c:v>
                </c:pt>
                <c:pt idx="49">
                  <c:v>-4.2476425124693948E-2</c:v>
                </c:pt>
                <c:pt idx="50">
                  <c:v>-2.5339111481937172E-2</c:v>
                </c:pt>
                <c:pt idx="51">
                  <c:v>-4.9706771869694149E-4</c:v>
                </c:pt>
                <c:pt idx="52">
                  <c:v>9.3641322550907201E-3</c:v>
                </c:pt>
                <c:pt idx="53">
                  <c:v>-1.036314840591391E-3</c:v>
                </c:pt>
                <c:pt idx="54">
                  <c:v>-1.0343848376253569E-2</c:v>
                </c:pt>
                <c:pt idx="55">
                  <c:v>-6.7883575498607542E-3</c:v>
                </c:pt>
                <c:pt idx="56">
                  <c:v>2.8388819528482091E-2</c:v>
                </c:pt>
                <c:pt idx="57">
                  <c:v>-6.6806435576028111E-3</c:v>
                </c:pt>
                <c:pt idx="58">
                  <c:v>3.5984832440870557E-2</c:v>
                </c:pt>
                <c:pt idx="59">
                  <c:v>1.6880341470822669E-2</c:v>
                </c:pt>
                <c:pt idx="60">
                  <c:v>1.015074692296461E-2</c:v>
                </c:pt>
                <c:pt idx="61">
                  <c:v>-2.287193820641991E-2</c:v>
                </c:pt>
                <c:pt idx="62">
                  <c:v>1.9704763227992542E-2</c:v>
                </c:pt>
                <c:pt idx="63">
                  <c:v>-8.8754115549699863E-3</c:v>
                </c:pt>
                <c:pt idx="64">
                  <c:v>-2.2888795160113991E-2</c:v>
                </c:pt>
                <c:pt idx="65">
                  <c:v>1.125687226158755E-2</c:v>
                </c:pt>
                <c:pt idx="66">
                  <c:v>-2.6758921211330791E-2</c:v>
                </c:pt>
                <c:pt idx="67">
                  <c:v>-1.424482924259165E-2</c:v>
                </c:pt>
                <c:pt idx="68">
                  <c:v>7.9768177062177208E-4</c:v>
                </c:pt>
                <c:pt idx="69">
                  <c:v>4.5368428482294547E-2</c:v>
                </c:pt>
                <c:pt idx="70">
                  <c:v>-1.273831511584975E-2</c:v>
                </c:pt>
                <c:pt idx="71">
                  <c:v>-8.1643303860115084E-3</c:v>
                </c:pt>
                <c:pt idx="72">
                  <c:v>1.5646901088432901E-2</c:v>
                </c:pt>
                <c:pt idx="73">
                  <c:v>-2.3765913767520921E-2</c:v>
                </c:pt>
                <c:pt idx="74">
                  <c:v>9.8561276204183097E-3</c:v>
                </c:pt>
                <c:pt idx="75">
                  <c:v>2.5118536152331759E-2</c:v>
                </c:pt>
                <c:pt idx="76">
                  <c:v>-5.1418976942220274E-3</c:v>
                </c:pt>
                <c:pt idx="77">
                  <c:v>2.1523085627937311E-2</c:v>
                </c:pt>
                <c:pt idx="78">
                  <c:v>6.8289984642361254E-3</c:v>
                </c:pt>
                <c:pt idx="79">
                  <c:v>-1.3613639276075611E-2</c:v>
                </c:pt>
                <c:pt idx="80">
                  <c:v>-2.9560937179301272E-3</c:v>
                </c:pt>
                <c:pt idx="81">
                  <c:v>-6.5951467996048421E-3</c:v>
                </c:pt>
                <c:pt idx="82">
                  <c:v>-7.5276515632955072E-4</c:v>
                </c:pt>
                <c:pt idx="83">
                  <c:v>4.0543579843965701E-3</c:v>
                </c:pt>
                <c:pt idx="84">
                  <c:v>1.2763998699437141E-2</c:v>
                </c:pt>
                <c:pt idx="85">
                  <c:v>1.117336499174271E-2</c:v>
                </c:pt>
                <c:pt idx="86">
                  <c:v>-4.7634271425242958E-2</c:v>
                </c:pt>
                <c:pt idx="87">
                  <c:v>-9.4616377544053478E-4</c:v>
                </c:pt>
                <c:pt idx="88">
                  <c:v>-2.9188438268135251E-2</c:v>
                </c:pt>
                <c:pt idx="89">
                  <c:v>-4.5145450493465156E-3</c:v>
                </c:pt>
                <c:pt idx="90">
                  <c:v>-1.4757917562183991E-3</c:v>
                </c:pt>
                <c:pt idx="91">
                  <c:v>2.0522967161694178E-2</c:v>
                </c:pt>
                <c:pt idx="92">
                  <c:v>3.976906579980081E-4</c:v>
                </c:pt>
                <c:pt idx="93">
                  <c:v>6.1843603668652004E-3</c:v>
                </c:pt>
                <c:pt idx="94">
                  <c:v>1.6861127613148581E-2</c:v>
                </c:pt>
                <c:pt idx="95">
                  <c:v>2.5555045196386E-2</c:v>
                </c:pt>
                <c:pt idx="96">
                  <c:v>-1.4602784671382089E-3</c:v>
                </c:pt>
                <c:pt idx="97">
                  <c:v>2.8835888336081771E-3</c:v>
                </c:pt>
                <c:pt idx="98">
                  <c:v>1.2004660448450739E-3</c:v>
                </c:pt>
                <c:pt idx="99">
                  <c:v>-9.8519792886215263E-3</c:v>
                </c:pt>
                <c:pt idx="100">
                  <c:v>-1.4382304468847799E-2</c:v>
                </c:pt>
                <c:pt idx="101">
                  <c:v>-4.4437718328518713E-2</c:v>
                </c:pt>
                <c:pt idx="102">
                  <c:v>-2.053321869048659E-2</c:v>
                </c:pt>
                <c:pt idx="103">
                  <c:v>-3.4572616664196067E-2</c:v>
                </c:pt>
                <c:pt idx="104">
                  <c:v>2.6103969689065049E-2</c:v>
                </c:pt>
                <c:pt idx="105">
                  <c:v>4.7683201659485678E-3</c:v>
                </c:pt>
                <c:pt idx="106">
                  <c:v>-1.518779458936673E-3</c:v>
                </c:pt>
                <c:pt idx="107">
                  <c:v>-1.334970372162163E-2</c:v>
                </c:pt>
                <c:pt idx="108">
                  <c:v>1.5955852646924781E-3</c:v>
                </c:pt>
                <c:pt idx="109">
                  <c:v>-1.5959597553106681E-2</c:v>
                </c:pt>
                <c:pt idx="110">
                  <c:v>4.480371132412073E-3</c:v>
                </c:pt>
                <c:pt idx="111">
                  <c:v>5.914679658427068E-3</c:v>
                </c:pt>
                <c:pt idx="112">
                  <c:v>-1.622767404713487E-2</c:v>
                </c:pt>
                <c:pt idx="113">
                  <c:v>-1.6609239296448121E-2</c:v>
                </c:pt>
                <c:pt idx="114">
                  <c:v>2.0243987091902348E-2</c:v>
                </c:pt>
                <c:pt idx="115">
                  <c:v>-5.7199085826006213E-5</c:v>
                </c:pt>
                <c:pt idx="116">
                  <c:v>-1.462040858529782E-2</c:v>
                </c:pt>
                <c:pt idx="117">
                  <c:v>-6.4101260337903806E-3</c:v>
                </c:pt>
                <c:pt idx="118">
                  <c:v>-1.9211881734132141E-2</c:v>
                </c:pt>
                <c:pt idx="119">
                  <c:v>-3.4367161323833781E-4</c:v>
                </c:pt>
                <c:pt idx="120">
                  <c:v>1.763256615328937E-2</c:v>
                </c:pt>
                <c:pt idx="121">
                  <c:v>4.4658664811477231E-4</c:v>
                </c:pt>
                <c:pt idx="122">
                  <c:v>4.8272668873507688E-2</c:v>
                </c:pt>
                <c:pt idx="123">
                  <c:v>9.427191360980032E-3</c:v>
                </c:pt>
                <c:pt idx="124">
                  <c:v>5.5990889568442474E-3</c:v>
                </c:pt>
                <c:pt idx="125">
                  <c:v>-1.7166042619316119E-2</c:v>
                </c:pt>
                <c:pt idx="126">
                  <c:v>-3.7706689368533358E-3</c:v>
                </c:pt>
                <c:pt idx="127">
                  <c:v>-1.4580276860673839E-2</c:v>
                </c:pt>
                <c:pt idx="128">
                  <c:v>-4.2312904568082482E-2</c:v>
                </c:pt>
                <c:pt idx="129">
                  <c:v>2.0485244442576149E-2</c:v>
                </c:pt>
                <c:pt idx="130">
                  <c:v>-9.2290111110046209E-3</c:v>
                </c:pt>
                <c:pt idx="131">
                  <c:v>-1.420800148666612E-2</c:v>
                </c:pt>
                <c:pt idx="132">
                  <c:v>5.2114006791692969E-3</c:v>
                </c:pt>
                <c:pt idx="133">
                  <c:v>1.124999104443034E-2</c:v>
                </c:pt>
                <c:pt idx="134">
                  <c:v>-5.4154966581255754E-3</c:v>
                </c:pt>
                <c:pt idx="135">
                  <c:v>9.4796664781963275E-4</c:v>
                </c:pt>
                <c:pt idx="136">
                  <c:v>1.592374814628806E-2</c:v>
                </c:pt>
                <c:pt idx="137">
                  <c:v>-6.2038718921989533E-3</c:v>
                </c:pt>
                <c:pt idx="138">
                  <c:v>7.0466748352666798E-3</c:v>
                </c:pt>
                <c:pt idx="139">
                  <c:v>-3.2184892367783012E-2</c:v>
                </c:pt>
                <c:pt idx="140">
                  <c:v>-2.3826379968554971E-2</c:v>
                </c:pt>
                <c:pt idx="141">
                  <c:v>1.3110795561608071E-2</c:v>
                </c:pt>
                <c:pt idx="142">
                  <c:v>-2.4871172783345968E-2</c:v>
                </c:pt>
                <c:pt idx="143">
                  <c:v>5.6827509422659218E-3</c:v>
                </c:pt>
                <c:pt idx="144">
                  <c:v>-1.939975643941454E-3</c:v>
                </c:pt>
                <c:pt idx="145">
                  <c:v>-6.2893452504045764E-3</c:v>
                </c:pt>
                <c:pt idx="146">
                  <c:v>-1.5569255379354561E-2</c:v>
                </c:pt>
                <c:pt idx="147">
                  <c:v>1.9186800362107511E-2</c:v>
                </c:pt>
                <c:pt idx="148">
                  <c:v>3.5597823090396712E-2</c:v>
                </c:pt>
                <c:pt idx="149">
                  <c:v>7.0038432520038892E-3</c:v>
                </c:pt>
                <c:pt idx="150">
                  <c:v>7.449814313456345E-3</c:v>
                </c:pt>
                <c:pt idx="151">
                  <c:v>-1.264661259714988E-2</c:v>
                </c:pt>
                <c:pt idx="152">
                  <c:v>-2.2921944636487598E-2</c:v>
                </c:pt>
                <c:pt idx="153">
                  <c:v>2.0522190387650929E-4</c:v>
                </c:pt>
                <c:pt idx="154">
                  <c:v>-1.847499295916152E-2</c:v>
                </c:pt>
                <c:pt idx="155">
                  <c:v>-3.4452202566316432E-2</c:v>
                </c:pt>
                <c:pt idx="156">
                  <c:v>1.706891624731165E-2</c:v>
                </c:pt>
                <c:pt idx="157">
                  <c:v>1.804333576503666E-2</c:v>
                </c:pt>
                <c:pt idx="158">
                  <c:v>-1.617677545906189E-2</c:v>
                </c:pt>
                <c:pt idx="159">
                  <c:v>5.8792864255848851E-3</c:v>
                </c:pt>
                <c:pt idx="160">
                  <c:v>2.103904535583534E-2</c:v>
                </c:pt>
                <c:pt idx="161">
                  <c:v>5.1005337412375782E-3</c:v>
                </c:pt>
                <c:pt idx="162">
                  <c:v>-2.2863092921974668E-2</c:v>
                </c:pt>
                <c:pt idx="163">
                  <c:v>-3.657868264741973E-3</c:v>
                </c:pt>
                <c:pt idx="164">
                  <c:v>2.7536188400839819E-2</c:v>
                </c:pt>
                <c:pt idx="165">
                  <c:v>5.9405328721022577E-3</c:v>
                </c:pt>
                <c:pt idx="166">
                  <c:v>1.1782642063656109E-2</c:v>
                </c:pt>
                <c:pt idx="167">
                  <c:v>7.832584387382286E-3</c:v>
                </c:pt>
                <c:pt idx="168">
                  <c:v>-1.611022715956506E-2</c:v>
                </c:pt>
                <c:pt idx="169">
                  <c:v>-1.1416904385652861E-2</c:v>
                </c:pt>
                <c:pt idx="170">
                  <c:v>7.7773031410348472E-3</c:v>
                </c:pt>
                <c:pt idx="171">
                  <c:v>1.7337435600408159E-2</c:v>
                </c:pt>
                <c:pt idx="172">
                  <c:v>2.299809901835765E-2</c:v>
                </c:pt>
                <c:pt idx="173">
                  <c:v>-1.616211089536387E-2</c:v>
                </c:pt>
                <c:pt idx="174">
                  <c:v>9.6624106935438749E-3</c:v>
                </c:pt>
                <c:pt idx="175">
                  <c:v>2.4740882234379528E-2</c:v>
                </c:pt>
                <c:pt idx="176">
                  <c:v>-1.8741635405760449E-2</c:v>
                </c:pt>
                <c:pt idx="177">
                  <c:v>3.0734942715995479E-2</c:v>
                </c:pt>
                <c:pt idx="178">
                  <c:v>3.3778816546883798E-2</c:v>
                </c:pt>
                <c:pt idx="179">
                  <c:v>5.3501726792433223E-2</c:v>
                </c:pt>
                <c:pt idx="180">
                  <c:v>5.6186688165998947E-3</c:v>
                </c:pt>
                <c:pt idx="181">
                  <c:v>5.7284935252489722E-3</c:v>
                </c:pt>
                <c:pt idx="182">
                  <c:v>1.7539887782346351E-2</c:v>
                </c:pt>
                <c:pt idx="183">
                  <c:v>1.695605346098833E-2</c:v>
                </c:pt>
                <c:pt idx="184">
                  <c:v>2.3527337219912119E-2</c:v>
                </c:pt>
                <c:pt idx="185">
                  <c:v>1.6680663609302079E-2</c:v>
                </c:pt>
                <c:pt idx="186">
                  <c:v>-1.121238180760773E-3</c:v>
                </c:pt>
                <c:pt idx="187">
                  <c:v>2.5439942419470039E-2</c:v>
                </c:pt>
                <c:pt idx="188">
                  <c:v>-2.042508299385451E-2</c:v>
                </c:pt>
                <c:pt idx="189">
                  <c:v>1.117046734507529E-3</c:v>
                </c:pt>
                <c:pt idx="190">
                  <c:v>3.2274712320995977E-2</c:v>
                </c:pt>
                <c:pt idx="191">
                  <c:v>-2.4004929962406388E-2</c:v>
                </c:pt>
                <c:pt idx="192">
                  <c:v>-1.254951313994326E-2</c:v>
                </c:pt>
                <c:pt idx="193">
                  <c:v>1.4434945821545831E-2</c:v>
                </c:pt>
                <c:pt idx="194">
                  <c:v>8.8782394647230478E-3</c:v>
                </c:pt>
                <c:pt idx="195">
                  <c:v>-1.6500508153124899E-2</c:v>
                </c:pt>
                <c:pt idx="196">
                  <c:v>-7.3238800546028106E-3</c:v>
                </c:pt>
                <c:pt idx="197">
                  <c:v>-2.2615641253006781E-2</c:v>
                </c:pt>
                <c:pt idx="198">
                  <c:v>2.0609699990411449E-2</c:v>
                </c:pt>
                <c:pt idx="199">
                  <c:v>-4.1176271534106336E-3</c:v>
                </c:pt>
                <c:pt idx="200">
                  <c:v>3.6843118215212647E-2</c:v>
                </c:pt>
                <c:pt idx="201">
                  <c:v>2.6220048808004298E-3</c:v>
                </c:pt>
                <c:pt idx="202">
                  <c:v>-3.3948060680575359E-3</c:v>
                </c:pt>
                <c:pt idx="203">
                  <c:v>-5.3364352258359529E-3</c:v>
                </c:pt>
                <c:pt idx="204">
                  <c:v>-3.8839967038485669E-3</c:v>
                </c:pt>
                <c:pt idx="205">
                  <c:v>3.2164219026760599E-3</c:v>
                </c:pt>
                <c:pt idx="206">
                  <c:v>5.124815153156638E-2</c:v>
                </c:pt>
                <c:pt idx="207">
                  <c:v>-5.7771934019871882E-3</c:v>
                </c:pt>
                <c:pt idx="208">
                  <c:v>-5.1270692154261896E-3</c:v>
                </c:pt>
                <c:pt idx="209">
                  <c:v>2.3118769136635719E-3</c:v>
                </c:pt>
                <c:pt idx="210">
                  <c:v>2.2805490126885201E-2</c:v>
                </c:pt>
                <c:pt idx="211">
                  <c:v>-2.7419691221455579E-2</c:v>
                </c:pt>
                <c:pt idx="212">
                  <c:v>1.010185473819291E-2</c:v>
                </c:pt>
                <c:pt idx="213">
                  <c:v>-1.534850352042324E-2</c:v>
                </c:pt>
                <c:pt idx="214">
                  <c:v>1.206545377901898E-2</c:v>
                </c:pt>
                <c:pt idx="215">
                  <c:v>-8.8751988472091231E-3</c:v>
                </c:pt>
                <c:pt idx="216">
                  <c:v>-4.5082046795145728E-2</c:v>
                </c:pt>
                <c:pt idx="217">
                  <c:v>8.3915520537497061E-3</c:v>
                </c:pt>
                <c:pt idx="218">
                  <c:v>8.2228954069373736E-3</c:v>
                </c:pt>
                <c:pt idx="219">
                  <c:v>-1.05816061695886E-2</c:v>
                </c:pt>
                <c:pt idx="220">
                  <c:v>-1.176687720286005E-2</c:v>
                </c:pt>
                <c:pt idx="221">
                  <c:v>-2.5227454501753049E-2</c:v>
                </c:pt>
                <c:pt idx="222">
                  <c:v>1.6461998830777431E-2</c:v>
                </c:pt>
                <c:pt idx="223">
                  <c:v>1.8644315649336159E-2</c:v>
                </c:pt>
                <c:pt idx="224">
                  <c:v>-1.65810177035178E-2</c:v>
                </c:pt>
                <c:pt idx="225">
                  <c:v>-9.798689190777015E-3</c:v>
                </c:pt>
                <c:pt idx="226">
                  <c:v>-2.6578242277926949E-4</c:v>
                </c:pt>
                <c:pt idx="227">
                  <c:v>4.6417305620710933E-2</c:v>
                </c:pt>
                <c:pt idx="228">
                  <c:v>1.190243495177864E-2</c:v>
                </c:pt>
                <c:pt idx="229">
                  <c:v>-1.786831030016758E-2</c:v>
                </c:pt>
                <c:pt idx="230">
                  <c:v>7.0756061898101102E-3</c:v>
                </c:pt>
                <c:pt idx="231">
                  <c:v>-2.653383081276163E-2</c:v>
                </c:pt>
                <c:pt idx="232">
                  <c:v>1.535980619832342E-2</c:v>
                </c:pt>
                <c:pt idx="233">
                  <c:v>3.4510947870889708E-2</c:v>
                </c:pt>
                <c:pt idx="234">
                  <c:v>3.4595833701679173E-2</c:v>
                </c:pt>
                <c:pt idx="235">
                  <c:v>1.569787006948677E-2</c:v>
                </c:pt>
                <c:pt idx="236">
                  <c:v>-1.0668247117362591E-2</c:v>
                </c:pt>
                <c:pt idx="237">
                  <c:v>-2.5018035130282518E-2</c:v>
                </c:pt>
                <c:pt idx="238">
                  <c:v>-2.700410086738218E-2</c:v>
                </c:pt>
                <c:pt idx="239">
                  <c:v>-5.5124342189970872E-2</c:v>
                </c:pt>
                <c:pt idx="240">
                  <c:v>1.4877115260158429E-2</c:v>
                </c:pt>
                <c:pt idx="241">
                  <c:v>-1.0567104044879891E-3</c:v>
                </c:pt>
                <c:pt idx="242">
                  <c:v>1.9184323329062551E-2</c:v>
                </c:pt>
                <c:pt idx="243">
                  <c:v>2.9560629704695762E-2</c:v>
                </c:pt>
                <c:pt idx="244">
                  <c:v>2.9981108780481949E-3</c:v>
                </c:pt>
                <c:pt idx="245">
                  <c:v>3.9192321942630032E-3</c:v>
                </c:pt>
                <c:pt idx="246">
                  <c:v>-8.2864068899493291E-3</c:v>
                </c:pt>
                <c:pt idx="247">
                  <c:v>-5.921688343448161E-3</c:v>
                </c:pt>
                <c:pt idx="248">
                  <c:v>1.5569398249458679E-2</c:v>
                </c:pt>
                <c:pt idx="249">
                  <c:v>-2.4875006073062098E-3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8-4EE9-8B89-286F983F3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Observation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Return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Funnel Performance: Leads vs. Conversions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Leads Generated</c:v>
          </c:tx>
          <c:spPr>
            <a:solidFill>
              <a:srgbClr val="1F4E78"/>
            </a:solidFill>
          </c:spPr>
          <c:invertIfNegative val="0"/>
          <c:val>
            <c:numRef>
              <c:f>'7_Advanced_Insights'!$B$6:$B$13</c:f>
              <c:numCache>
                <c:formatCode>General</c:formatCode>
                <c:ptCount val="8"/>
                <c:pt idx="0">
                  <c:v>45</c:v>
                </c:pt>
                <c:pt idx="1">
                  <c:v>120</c:v>
                </c:pt>
                <c:pt idx="2">
                  <c:v>12</c:v>
                </c:pt>
                <c:pt idx="3">
                  <c:v>65</c:v>
                </c:pt>
                <c:pt idx="4">
                  <c:v>250</c:v>
                </c:pt>
                <c:pt idx="5">
                  <c:v>88</c:v>
                </c:pt>
                <c:pt idx="6">
                  <c:v>30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4-4128-A80E-BE45BA034832}"/>
            </c:ext>
          </c:extLst>
        </c:ser>
        <c:ser>
          <c:idx val="1"/>
          <c:order val="1"/>
          <c:tx>
            <c:v>Actual Conversions</c:v>
          </c:tx>
          <c:spPr>
            <a:solidFill>
              <a:srgbClr val="FFC000"/>
            </a:solidFill>
          </c:spPr>
          <c:invertIfNegative val="0"/>
          <c:val>
            <c:numRef>
              <c:f>'7_Advanced_Insights'!$C$6:$C$13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12</c:v>
                </c:pt>
                <c:pt idx="4">
                  <c:v>3</c:v>
                </c:pt>
                <c:pt idx="5">
                  <c:v>8</c:v>
                </c:pt>
                <c:pt idx="6">
                  <c:v>10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4-4128-A80E-BE45BA034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Conversion Distribution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9A-4C7F-81D3-DC3671DB88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9A-4C7F-81D3-DC3671DB88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09A-4C7F-81D3-DC3671DB884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09A-4C7F-81D3-DC3671DB884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9A-4C7F-81D3-DC3671DB88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'7_Advanced_Insights'!$A$6:$A$13</c:f>
              <c:strCache>
                <c:ptCount val="8"/>
                <c:pt idx="0">
                  <c:v>2026-05-10 | search_ads | $$450.50 | "RE_ENGAGEMENT"</c:v>
                </c:pt>
                <c:pt idx="1">
                  <c:v>2026-05-11 | social_media | $$1200.00 | "AWARENESS"</c:v>
                </c:pt>
                <c:pt idx="2">
                  <c:v>2026-05-12 | email_blast | $$85.20 | "CONVERSION"</c:v>
                </c:pt>
                <c:pt idx="3">
                  <c:v>2026-05-13 | search_ads | $$600.00 | "CONVERSION"</c:v>
                </c:pt>
                <c:pt idx="4">
                  <c:v>2026-05-14 | influencer | $$2500.00 | "AWARENESS"</c:v>
                </c:pt>
                <c:pt idx="5">
                  <c:v>2026-05-15 | social_media | $$950.00 | "RE_ENGAGEMENT"</c:v>
                </c:pt>
                <c:pt idx="6">
                  <c:v>2026-05-16 | email_blast | $$110.00 | "RETENTION"</c:v>
                </c:pt>
                <c:pt idx="7">
                  <c:v>2026-05-17 | affiliate | $$400.00 | "CONVERSION"</c:v>
                </c:pt>
              </c:strCache>
            </c:strRef>
          </c:cat>
          <c:val>
            <c:numRef>
              <c:f>'7_Advanced_Insights'!$C$6:$C$13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12</c:v>
                </c:pt>
                <c:pt idx="4">
                  <c:v>3</c:v>
                </c:pt>
                <c:pt idx="5">
                  <c:v>8</c:v>
                </c:pt>
                <c:pt idx="6">
                  <c:v>10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A-4C7F-81D3-DC3671DB884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Correlation: Leads vs. Conversion Density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ROI Trend</c:v>
          </c:tx>
          <c:marker>
            <c:symbol val="circle"/>
            <c:size val="8"/>
            <c:spPr>
              <a:solidFill>
                <a:srgbClr val="FFFF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'7_Advanced_Insights'!$B$6:$B$13</c:f>
              <c:numCache>
                <c:formatCode>General</c:formatCode>
                <c:ptCount val="8"/>
                <c:pt idx="0">
                  <c:v>45</c:v>
                </c:pt>
                <c:pt idx="1">
                  <c:v>120</c:v>
                </c:pt>
                <c:pt idx="2">
                  <c:v>12</c:v>
                </c:pt>
                <c:pt idx="3">
                  <c:v>65</c:v>
                </c:pt>
                <c:pt idx="4">
                  <c:v>250</c:v>
                </c:pt>
                <c:pt idx="5">
                  <c:v>88</c:v>
                </c:pt>
                <c:pt idx="6">
                  <c:v>30</c:v>
                </c:pt>
                <c:pt idx="7">
                  <c:v>50</c:v>
                </c:pt>
              </c:numCache>
            </c:numRef>
          </c:xVal>
          <c:yVal>
            <c:numRef>
              <c:f>'7_Advanced_Insights'!$C$6:$C$13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12</c:v>
                </c:pt>
                <c:pt idx="4">
                  <c:v>3</c:v>
                </c:pt>
                <c:pt idx="5">
                  <c:v>8</c:v>
                </c:pt>
                <c:pt idx="6">
                  <c:v>10</c:v>
                </c:pt>
                <c:pt idx="7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17-45CD-BF42-162664280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10</xdr:col>
      <xdr:colOff>28575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49161</xdr:colOff>
      <xdr:row>5</xdr:row>
      <xdr:rowOff>98323</xdr:rowOff>
    </xdr:from>
    <xdr:to>
      <xdr:col>10</xdr:col>
      <xdr:colOff>77736</xdr:colOff>
      <xdr:row>20</xdr:row>
      <xdr:rowOff>2458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24581</xdr:colOff>
      <xdr:row>20</xdr:row>
      <xdr:rowOff>98323</xdr:rowOff>
    </xdr:from>
    <xdr:to>
      <xdr:col>13</xdr:col>
      <xdr:colOff>110836</xdr:colOff>
      <xdr:row>49</xdr:row>
      <xdr:rowOff>96982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122903</xdr:colOff>
      <xdr:row>5</xdr:row>
      <xdr:rowOff>98323</xdr:rowOff>
    </xdr:from>
    <xdr:to>
      <xdr:col>13</xdr:col>
      <xdr:colOff>151478</xdr:colOff>
      <xdr:row>20</xdr:row>
      <xdr:rowOff>2458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26" width="22.6640625" customWidth="1"/>
  </cols>
  <sheetData>
    <row r="2" spans="2:5" ht="31.2" x14ac:dyDescent="0.6">
      <c r="B2" s="1" t="s">
        <v>0</v>
      </c>
    </row>
    <row r="4" spans="2:5" ht="21" x14ac:dyDescent="0.4">
      <c r="B4" s="2" t="s">
        <v>1</v>
      </c>
    </row>
    <row r="6" spans="2:5" x14ac:dyDescent="0.3">
      <c r="B6" s="3" t="s">
        <v>2</v>
      </c>
      <c r="C6" s="3" t="s">
        <v>3</v>
      </c>
      <c r="D6" s="3" t="s">
        <v>4</v>
      </c>
      <c r="E6" s="3" t="s">
        <v>5</v>
      </c>
    </row>
    <row r="7" spans="2:5" x14ac:dyDescent="0.3">
      <c r="B7" s="4" t="s">
        <v>6</v>
      </c>
      <c r="C7" s="4" t="s">
        <v>7</v>
      </c>
      <c r="D7" s="4" t="s">
        <v>8</v>
      </c>
      <c r="E7" s="4" t="s">
        <v>9</v>
      </c>
    </row>
    <row r="8" spans="2:5" x14ac:dyDescent="0.3">
      <c r="B8" s="4" t="s">
        <v>10</v>
      </c>
      <c r="C8" s="4" t="s">
        <v>11</v>
      </c>
      <c r="D8" s="4" t="s">
        <v>12</v>
      </c>
      <c r="E8" s="4" t="s">
        <v>13</v>
      </c>
    </row>
    <row r="9" spans="2:5" x14ac:dyDescent="0.3">
      <c r="B9" s="4" t="s">
        <v>14</v>
      </c>
      <c r="C9" s="4" t="s">
        <v>15</v>
      </c>
      <c r="D9" s="4" t="s">
        <v>16</v>
      </c>
      <c r="E9" s="4" t="s">
        <v>17</v>
      </c>
    </row>
    <row r="10" spans="2:5" x14ac:dyDescent="0.3">
      <c r="B10" s="4" t="s">
        <v>18</v>
      </c>
      <c r="C10" s="4" t="s">
        <v>19</v>
      </c>
      <c r="D10" s="4" t="s">
        <v>20</v>
      </c>
      <c r="E10" s="4" t="s">
        <v>9</v>
      </c>
    </row>
    <row r="11" spans="2:5" x14ac:dyDescent="0.3">
      <c r="B11" s="4" t="s">
        <v>21</v>
      </c>
      <c r="C11" s="4" t="s">
        <v>22</v>
      </c>
      <c r="D11" s="4" t="s">
        <v>23</v>
      </c>
      <c r="E11" s="4" t="s">
        <v>13</v>
      </c>
    </row>
    <row r="12" spans="2:5" x14ac:dyDescent="0.3">
      <c r="B12" s="4" t="s">
        <v>24</v>
      </c>
      <c r="C12" s="4" t="s">
        <v>25</v>
      </c>
      <c r="D12" s="4" t="s">
        <v>26</v>
      </c>
      <c r="E12" s="4" t="s">
        <v>27</v>
      </c>
    </row>
    <row r="15" spans="2:5" ht="21" x14ac:dyDescent="0.4">
      <c r="B15" s="2" t="s">
        <v>28</v>
      </c>
    </row>
    <row r="17" spans="2:2" x14ac:dyDescent="0.3">
      <c r="B17" t="s">
        <v>29</v>
      </c>
    </row>
    <row r="18" spans="2:2" x14ac:dyDescent="0.3">
      <c r="B18" t="s">
        <v>30</v>
      </c>
    </row>
    <row r="19" spans="2:2" x14ac:dyDescent="0.3">
      <c r="B19" t="s">
        <v>31</v>
      </c>
    </row>
    <row r="20" spans="2:2" x14ac:dyDescent="0.3">
      <c r="B20" t="s">
        <v>32</v>
      </c>
    </row>
    <row r="21" spans="2:2" x14ac:dyDescent="0.3">
      <c r="B21" t="s">
        <v>33</v>
      </c>
    </row>
    <row r="22" spans="2:2" x14ac:dyDescent="0.3">
      <c r="B22" t="s">
        <v>34</v>
      </c>
    </row>
    <row r="23" spans="2:2" x14ac:dyDescent="0.3">
      <c r="B23" t="s">
        <v>35</v>
      </c>
    </row>
    <row r="24" spans="2:2" x14ac:dyDescent="0.3">
      <c r="B2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zoomScale="70" zoomScaleNormal="70" workbookViewId="0">
      <pane ySplit="5" topLeftCell="A6" activePane="bottomLeft" state="frozen"/>
      <selection pane="bottomLeft" activeCell="M16" sqref="M16"/>
    </sheetView>
  </sheetViews>
  <sheetFormatPr defaultRowHeight="14.4" x14ac:dyDescent="0.3"/>
  <cols>
    <col min="1" max="7" width="22.6640625" customWidth="1"/>
    <col min="8" max="8" width="45.109375" customWidth="1"/>
    <col min="9" max="26" width="22.6640625" customWidth="1"/>
  </cols>
  <sheetData>
    <row r="1" spans="1:8" ht="31.2" x14ac:dyDescent="0.6">
      <c r="A1" s="1" t="s">
        <v>37</v>
      </c>
    </row>
    <row r="3" spans="1:8" ht="18" x14ac:dyDescent="0.35">
      <c r="A3" s="5" t="s">
        <v>38</v>
      </c>
    </row>
    <row r="5" spans="1:8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H5" s="6" t="s">
        <v>61</v>
      </c>
    </row>
    <row r="6" spans="1:8" x14ac:dyDescent="0.3">
      <c r="A6" t="s">
        <v>44</v>
      </c>
      <c r="B6" t="s">
        <v>52</v>
      </c>
      <c r="C6">
        <v>92</v>
      </c>
      <c r="D6">
        <v>65000</v>
      </c>
      <c r="E6" t="s">
        <v>57</v>
      </c>
    </row>
    <row r="7" spans="1:8" ht="28.8" x14ac:dyDescent="0.3">
      <c r="A7" t="s">
        <v>45</v>
      </c>
      <c r="B7" t="s">
        <v>53</v>
      </c>
      <c r="C7">
        <v>78</v>
      </c>
      <c r="D7">
        <v>85000</v>
      </c>
      <c r="E7" t="s">
        <v>58</v>
      </c>
      <c r="H7" s="7" t="s">
        <v>62</v>
      </c>
    </row>
    <row r="8" spans="1:8" ht="28.8" x14ac:dyDescent="0.3">
      <c r="A8" t="s">
        <v>46</v>
      </c>
      <c r="B8" t="s">
        <v>52</v>
      </c>
      <c r="C8">
        <v>85</v>
      </c>
      <c r="D8">
        <v>62000</v>
      </c>
      <c r="E8" t="s">
        <v>59</v>
      </c>
      <c r="H8" s="7" t="s">
        <v>63</v>
      </c>
    </row>
    <row r="9" spans="1:8" ht="28.8" x14ac:dyDescent="0.3">
      <c r="A9" t="s">
        <v>47</v>
      </c>
      <c r="B9" t="s">
        <v>54</v>
      </c>
      <c r="C9">
        <v>95</v>
      </c>
      <c r="D9">
        <v>55000</v>
      </c>
      <c r="E9" t="s">
        <v>57</v>
      </c>
      <c r="H9" s="7" t="s">
        <v>64</v>
      </c>
    </row>
    <row r="10" spans="1:8" ht="28.8" x14ac:dyDescent="0.3">
      <c r="A10" t="s">
        <v>48</v>
      </c>
      <c r="B10" t="s">
        <v>53</v>
      </c>
      <c r="C10">
        <v>88</v>
      </c>
      <c r="D10">
        <v>92000</v>
      </c>
      <c r="E10" t="s">
        <v>60</v>
      </c>
      <c r="H10" s="7" t="s">
        <v>65</v>
      </c>
    </row>
    <row r="11" spans="1:8" ht="28.8" x14ac:dyDescent="0.3">
      <c r="A11" t="s">
        <v>49</v>
      </c>
      <c r="B11" t="s">
        <v>55</v>
      </c>
      <c r="C11">
        <v>72</v>
      </c>
      <c r="D11">
        <v>58000</v>
      </c>
      <c r="E11" t="s">
        <v>58</v>
      </c>
      <c r="H11" s="7" t="s">
        <v>66</v>
      </c>
    </row>
    <row r="12" spans="1:8" ht="28.8" x14ac:dyDescent="0.3">
      <c r="A12" t="s">
        <v>50</v>
      </c>
      <c r="B12" t="s">
        <v>52</v>
      </c>
      <c r="C12">
        <v>65</v>
      </c>
      <c r="D12">
        <v>60000</v>
      </c>
      <c r="E12" t="s">
        <v>57</v>
      </c>
      <c r="H12" s="7" t="s">
        <v>67</v>
      </c>
    </row>
    <row r="13" spans="1:8" ht="28.8" x14ac:dyDescent="0.3">
      <c r="A13" t="s">
        <v>51</v>
      </c>
      <c r="B13" t="s">
        <v>56</v>
      </c>
      <c r="C13">
        <v>91</v>
      </c>
      <c r="D13">
        <v>88000</v>
      </c>
      <c r="E13" t="s">
        <v>59</v>
      </c>
      <c r="H13" s="7" t="s">
        <v>68</v>
      </c>
    </row>
    <row r="14" spans="1:8" ht="28.8" x14ac:dyDescent="0.3">
      <c r="H14" s="7" t="s">
        <v>69</v>
      </c>
    </row>
    <row r="16" spans="1:8" x14ac:dyDescent="0.3">
      <c r="H16" s="8" t="s">
        <v>70</v>
      </c>
    </row>
    <row r="18" spans="8:9" x14ac:dyDescent="0.3">
      <c r="H18" s="3" t="s">
        <v>71</v>
      </c>
      <c r="I18" s="10">
        <f>_xlfn.XLOOKUP("Ananya",A6:A13,D6:D13,"not found")</f>
        <v>58000</v>
      </c>
    </row>
    <row r="19" spans="8:9" x14ac:dyDescent="0.3">
      <c r="H19" s="3" t="s">
        <v>72</v>
      </c>
      <c r="I19" s="10">
        <f>SUMIFS(D6:D13,B6:B13,"Tech")</f>
        <v>177000</v>
      </c>
    </row>
    <row r="20" spans="8:9" x14ac:dyDescent="0.3">
      <c r="H20" s="3" t="s">
        <v>73</v>
      </c>
      <c r="I20" s="10">
        <f>AVERAGE(C6:C13)</f>
        <v>83.25</v>
      </c>
    </row>
    <row r="21" spans="8:9" x14ac:dyDescent="0.3">
      <c r="H21" s="3" t="s">
        <v>74</v>
      </c>
      <c r="I21" s="10">
        <f>MAX(D6:D13)</f>
        <v>92000</v>
      </c>
    </row>
    <row r="22" spans="8:9" x14ac:dyDescent="0.3">
      <c r="H22" s="3" t="s">
        <v>75</v>
      </c>
      <c r="I22" s="10">
        <f>MIN(D6:D13)</f>
        <v>55000</v>
      </c>
    </row>
    <row r="23" spans="8:9" x14ac:dyDescent="0.3">
      <c r="H23" s="3" t="s">
        <v>76</v>
      </c>
      <c r="I23" s="10">
        <f>COUNTIF(B6:B13,"Sales")</f>
        <v>3</v>
      </c>
    </row>
    <row r="24" spans="8:9" x14ac:dyDescent="0.3">
      <c r="H24" s="3" t="s">
        <v>77</v>
      </c>
      <c r="I24" s="10" t="str">
        <f>IF(C6&gt;90,"Excellent","Good")</f>
        <v>Excellent</v>
      </c>
    </row>
    <row r="25" spans="8:9" x14ac:dyDescent="0.3">
      <c r="H25" s="3" t="s">
        <v>78</v>
      </c>
      <c r="I25" s="10">
        <f>INDEX(D6:D13,MATCH("Riya",A6:A13,0))</f>
        <v>55000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26" width="22.6640625" customWidth="1"/>
  </cols>
  <sheetData>
    <row r="1" spans="1:8" ht="31.2" x14ac:dyDescent="0.6">
      <c r="A1" s="1" t="s">
        <v>79</v>
      </c>
    </row>
    <row r="5" spans="1:8" x14ac:dyDescent="0.3">
      <c r="A5" t="s">
        <v>80</v>
      </c>
      <c r="B5" t="s">
        <v>81</v>
      </c>
      <c r="C5" t="s">
        <v>52</v>
      </c>
      <c r="D5" t="s">
        <v>82</v>
      </c>
      <c r="E5" t="s">
        <v>43</v>
      </c>
      <c r="H5" s="6" t="s">
        <v>86</v>
      </c>
    </row>
    <row r="6" spans="1:8" x14ac:dyDescent="0.3">
      <c r="A6" s="9">
        <v>45292</v>
      </c>
      <c r="B6" t="s">
        <v>83</v>
      </c>
      <c r="C6">
        <v>5225.99</v>
      </c>
      <c r="D6">
        <v>1080.1099999999999</v>
      </c>
      <c r="E6" t="s">
        <v>57</v>
      </c>
    </row>
    <row r="7" spans="1:8" ht="28.8" x14ac:dyDescent="0.3">
      <c r="A7" s="9">
        <v>45293</v>
      </c>
      <c r="B7" t="s">
        <v>84</v>
      </c>
      <c r="C7">
        <v>4976.43</v>
      </c>
      <c r="D7">
        <v>343.94</v>
      </c>
      <c r="E7" t="s">
        <v>60</v>
      </c>
      <c r="H7" s="7" t="s">
        <v>87</v>
      </c>
    </row>
    <row r="8" spans="1:8" ht="28.8" x14ac:dyDescent="0.3">
      <c r="A8" s="9">
        <v>45294</v>
      </c>
      <c r="B8" t="s">
        <v>83</v>
      </c>
      <c r="C8">
        <v>3004.89</v>
      </c>
      <c r="D8">
        <v>1298.56</v>
      </c>
      <c r="E8" t="s">
        <v>57</v>
      </c>
      <c r="H8" s="7" t="s">
        <v>88</v>
      </c>
    </row>
    <row r="9" spans="1:8" ht="28.8" x14ac:dyDescent="0.3">
      <c r="A9" s="9">
        <v>45295</v>
      </c>
      <c r="B9" t="s">
        <v>83</v>
      </c>
      <c r="C9">
        <v>4962.07</v>
      </c>
      <c r="D9">
        <v>682.34</v>
      </c>
      <c r="E9" t="s">
        <v>58</v>
      </c>
      <c r="H9" s="7" t="s">
        <v>89</v>
      </c>
    </row>
    <row r="10" spans="1:8" ht="28.8" x14ac:dyDescent="0.3">
      <c r="A10" s="9">
        <v>45296</v>
      </c>
      <c r="B10" t="s">
        <v>84</v>
      </c>
      <c r="C10">
        <v>7014.75</v>
      </c>
      <c r="D10">
        <v>1033.8900000000001</v>
      </c>
      <c r="E10" t="s">
        <v>60</v>
      </c>
      <c r="H10" s="7" t="s">
        <v>90</v>
      </c>
    </row>
    <row r="11" spans="1:8" x14ac:dyDescent="0.3">
      <c r="A11" s="9">
        <v>45297</v>
      </c>
      <c r="B11" t="s">
        <v>84</v>
      </c>
      <c r="C11">
        <v>3898.18</v>
      </c>
      <c r="D11">
        <v>807.53</v>
      </c>
      <c r="E11" t="s">
        <v>59</v>
      </c>
      <c r="H11" s="7" t="s">
        <v>91</v>
      </c>
    </row>
    <row r="12" spans="1:8" ht="28.8" x14ac:dyDescent="0.3">
      <c r="A12" s="9">
        <v>45298</v>
      </c>
      <c r="B12" t="s">
        <v>83</v>
      </c>
      <c r="C12">
        <v>3560.16</v>
      </c>
      <c r="D12">
        <v>117.17</v>
      </c>
      <c r="E12" t="s">
        <v>57</v>
      </c>
      <c r="H12" s="7" t="s">
        <v>92</v>
      </c>
    </row>
    <row r="13" spans="1:8" ht="28.8" x14ac:dyDescent="0.3">
      <c r="A13" s="9">
        <v>45299</v>
      </c>
      <c r="B13" t="s">
        <v>85</v>
      </c>
      <c r="C13">
        <v>6657.39</v>
      </c>
      <c r="D13">
        <v>1052.05</v>
      </c>
      <c r="E13" t="s">
        <v>57</v>
      </c>
      <c r="H13" s="7" t="s">
        <v>93</v>
      </c>
    </row>
    <row r="14" spans="1:8" x14ac:dyDescent="0.3">
      <c r="A14" s="9">
        <v>45300</v>
      </c>
      <c r="B14" t="s">
        <v>83</v>
      </c>
      <c r="C14">
        <v>5951.36</v>
      </c>
      <c r="D14">
        <v>548.38</v>
      </c>
      <c r="E14" t="s">
        <v>60</v>
      </c>
    </row>
    <row r="15" spans="1:8" x14ac:dyDescent="0.3">
      <c r="A15" s="9">
        <v>45301</v>
      </c>
      <c r="B15" t="s">
        <v>83</v>
      </c>
      <c r="C15">
        <v>9591.64</v>
      </c>
      <c r="D15">
        <v>1322.66</v>
      </c>
      <c r="E15" t="s">
        <v>58</v>
      </c>
      <c r="H15" s="8" t="s">
        <v>94</v>
      </c>
    </row>
    <row r="16" spans="1:8" x14ac:dyDescent="0.3">
      <c r="A16" s="9">
        <v>45302</v>
      </c>
      <c r="B16" t="s">
        <v>83</v>
      </c>
      <c r="C16">
        <v>3022.14</v>
      </c>
      <c r="D16">
        <v>682.07</v>
      </c>
      <c r="E16" t="s">
        <v>60</v>
      </c>
    </row>
    <row r="17" spans="1:9" x14ac:dyDescent="0.3">
      <c r="A17" s="9">
        <v>45303</v>
      </c>
      <c r="B17" t="s">
        <v>83</v>
      </c>
      <c r="C17">
        <v>6080.58</v>
      </c>
      <c r="D17">
        <v>761.62</v>
      </c>
      <c r="E17" t="s">
        <v>58</v>
      </c>
      <c r="H17" s="3" t="s">
        <v>95</v>
      </c>
      <c r="I17" s="4">
        <f>D6/C6</f>
        <v>0.20668045671729182</v>
      </c>
    </row>
    <row r="18" spans="1:9" x14ac:dyDescent="0.3">
      <c r="A18" s="9">
        <v>45304</v>
      </c>
      <c r="B18" t="s">
        <v>84</v>
      </c>
      <c r="C18">
        <v>5473.84</v>
      </c>
      <c r="D18">
        <v>1641.46</v>
      </c>
      <c r="E18" t="s">
        <v>58</v>
      </c>
      <c r="H18" s="3" t="s">
        <v>96</v>
      </c>
      <c r="I18" s="4">
        <f>SUM(C6:C305)</f>
        <v>1502826.5699999991</v>
      </c>
    </row>
    <row r="19" spans="1:9" x14ac:dyDescent="0.3">
      <c r="A19" s="9">
        <v>45305</v>
      </c>
      <c r="B19" t="s">
        <v>83</v>
      </c>
      <c r="C19">
        <v>5088.92</v>
      </c>
      <c r="D19">
        <v>1990.82</v>
      </c>
      <c r="E19" t="s">
        <v>57</v>
      </c>
      <c r="H19" s="3" t="s">
        <v>97</v>
      </c>
      <c r="I19" s="4">
        <f>AVERAGE(D6:D305)</f>
        <v>842.1508666666665</v>
      </c>
    </row>
    <row r="20" spans="1:9" x14ac:dyDescent="0.3">
      <c r="A20" s="9">
        <v>45306</v>
      </c>
      <c r="B20" t="s">
        <v>85</v>
      </c>
      <c r="C20">
        <v>6365.77</v>
      </c>
      <c r="D20">
        <v>1193.02</v>
      </c>
      <c r="E20" t="s">
        <v>60</v>
      </c>
      <c r="H20" s="3" t="s">
        <v>98</v>
      </c>
      <c r="I20" s="4">
        <f>MAX(C6:C305)</f>
        <v>9880.98</v>
      </c>
    </row>
    <row r="21" spans="1:9" x14ac:dyDescent="0.3">
      <c r="A21" s="9">
        <v>45307</v>
      </c>
      <c r="B21" t="s">
        <v>84</v>
      </c>
      <c r="C21">
        <v>4955.41</v>
      </c>
      <c r="D21">
        <v>656.43</v>
      </c>
      <c r="E21" t="s">
        <v>60</v>
      </c>
      <c r="H21" s="3" t="s">
        <v>99</v>
      </c>
      <c r="I21" s="4">
        <f>MIN(D6:D305)</f>
        <v>-984.1</v>
      </c>
    </row>
    <row r="22" spans="1:9" x14ac:dyDescent="0.3">
      <c r="A22" s="9">
        <v>45308</v>
      </c>
      <c r="B22" t="s">
        <v>85</v>
      </c>
      <c r="C22">
        <v>2095.44</v>
      </c>
      <c r="D22">
        <v>612.66999999999996</v>
      </c>
      <c r="E22" t="s">
        <v>58</v>
      </c>
    </row>
    <row r="23" spans="1:9" x14ac:dyDescent="0.3">
      <c r="A23" s="9">
        <v>45309</v>
      </c>
      <c r="B23" t="s">
        <v>85</v>
      </c>
      <c r="C23">
        <v>3728.96</v>
      </c>
      <c r="D23">
        <v>390.66</v>
      </c>
      <c r="E23" t="s">
        <v>60</v>
      </c>
    </row>
    <row r="24" spans="1:9" x14ac:dyDescent="0.3">
      <c r="A24" s="9">
        <v>45310</v>
      </c>
      <c r="B24" t="s">
        <v>85</v>
      </c>
      <c r="C24">
        <v>7046.65</v>
      </c>
      <c r="D24">
        <v>487.38</v>
      </c>
      <c r="E24" t="s">
        <v>59</v>
      </c>
    </row>
    <row r="25" spans="1:9" x14ac:dyDescent="0.3">
      <c r="A25" s="9">
        <v>45311</v>
      </c>
      <c r="B25" t="s">
        <v>85</v>
      </c>
      <c r="C25">
        <v>6758.04</v>
      </c>
      <c r="D25">
        <v>663.2</v>
      </c>
      <c r="E25" t="s">
        <v>59</v>
      </c>
    </row>
    <row r="26" spans="1:9" x14ac:dyDescent="0.3">
      <c r="A26" s="9">
        <v>45312</v>
      </c>
      <c r="B26" t="s">
        <v>84</v>
      </c>
      <c r="C26">
        <v>4440.32</v>
      </c>
      <c r="D26">
        <v>1782.13</v>
      </c>
      <c r="E26" t="s">
        <v>60</v>
      </c>
    </row>
    <row r="27" spans="1:9" x14ac:dyDescent="0.3">
      <c r="A27" s="9">
        <v>45313</v>
      </c>
      <c r="B27" t="s">
        <v>84</v>
      </c>
      <c r="C27">
        <v>5755.4</v>
      </c>
      <c r="D27">
        <v>701.39</v>
      </c>
      <c r="E27" t="s">
        <v>60</v>
      </c>
    </row>
    <row r="28" spans="1:9" x14ac:dyDescent="0.3">
      <c r="A28" s="9">
        <v>45314</v>
      </c>
      <c r="B28" t="s">
        <v>85</v>
      </c>
      <c r="C28">
        <v>9175.91</v>
      </c>
      <c r="D28">
        <v>186.97</v>
      </c>
      <c r="E28" t="s">
        <v>58</v>
      </c>
    </row>
    <row r="29" spans="1:9" x14ac:dyDescent="0.3">
      <c r="A29" s="9">
        <v>45315</v>
      </c>
      <c r="B29" t="s">
        <v>85</v>
      </c>
      <c r="C29">
        <v>4953.22</v>
      </c>
      <c r="D29">
        <v>820.83</v>
      </c>
      <c r="E29" t="s">
        <v>59</v>
      </c>
    </row>
    <row r="30" spans="1:9" x14ac:dyDescent="0.3">
      <c r="A30" s="9">
        <v>45316</v>
      </c>
      <c r="B30" t="s">
        <v>84</v>
      </c>
      <c r="C30">
        <v>4982.63</v>
      </c>
      <c r="D30">
        <v>889.06</v>
      </c>
      <c r="E30" t="s">
        <v>59</v>
      </c>
    </row>
    <row r="31" spans="1:9" x14ac:dyDescent="0.3">
      <c r="A31" s="9">
        <v>45317</v>
      </c>
      <c r="B31" t="s">
        <v>84</v>
      </c>
      <c r="C31">
        <v>5285.9</v>
      </c>
      <c r="D31">
        <v>817.82</v>
      </c>
      <c r="E31" t="s">
        <v>57</v>
      </c>
    </row>
    <row r="32" spans="1:9" x14ac:dyDescent="0.3">
      <c r="A32" s="9">
        <v>45318</v>
      </c>
      <c r="B32" t="s">
        <v>84</v>
      </c>
      <c r="C32">
        <v>5910.46</v>
      </c>
      <c r="D32">
        <v>1199.8499999999999</v>
      </c>
      <c r="E32" t="s">
        <v>58</v>
      </c>
    </row>
    <row r="33" spans="1:5" x14ac:dyDescent="0.3">
      <c r="A33" s="9">
        <v>45319</v>
      </c>
      <c r="B33" t="s">
        <v>83</v>
      </c>
      <c r="C33">
        <v>4476.6499999999996</v>
      </c>
      <c r="D33">
        <v>834.5</v>
      </c>
      <c r="E33" t="s">
        <v>57</v>
      </c>
    </row>
    <row r="34" spans="1:5" x14ac:dyDescent="0.3">
      <c r="A34" s="9">
        <v>45320</v>
      </c>
      <c r="B34" t="s">
        <v>83</v>
      </c>
      <c r="C34">
        <v>5909.19</v>
      </c>
      <c r="D34">
        <v>1184.3599999999999</v>
      </c>
      <c r="E34" t="s">
        <v>59</v>
      </c>
    </row>
    <row r="35" spans="1:5" x14ac:dyDescent="0.3">
      <c r="A35" s="9">
        <v>45321</v>
      </c>
      <c r="B35" t="s">
        <v>83</v>
      </c>
      <c r="C35">
        <v>2083.66</v>
      </c>
      <c r="D35">
        <v>409.83</v>
      </c>
      <c r="E35" t="s">
        <v>58</v>
      </c>
    </row>
    <row r="36" spans="1:5" x14ac:dyDescent="0.3">
      <c r="A36" s="9">
        <v>45322</v>
      </c>
      <c r="B36" t="s">
        <v>85</v>
      </c>
      <c r="C36">
        <v>5504.6</v>
      </c>
      <c r="D36">
        <v>1690.36</v>
      </c>
      <c r="E36" t="s">
        <v>60</v>
      </c>
    </row>
    <row r="37" spans="1:5" x14ac:dyDescent="0.3">
      <c r="A37" s="9">
        <v>45323</v>
      </c>
      <c r="B37" t="s">
        <v>83</v>
      </c>
      <c r="C37">
        <v>5075.9399999999996</v>
      </c>
      <c r="D37">
        <v>926.24</v>
      </c>
      <c r="E37" t="s">
        <v>58</v>
      </c>
    </row>
    <row r="38" spans="1:5" x14ac:dyDescent="0.3">
      <c r="A38" s="9">
        <v>45324</v>
      </c>
      <c r="B38" t="s">
        <v>85</v>
      </c>
      <c r="C38">
        <v>4673.8100000000004</v>
      </c>
      <c r="D38">
        <v>1000.11</v>
      </c>
      <c r="E38" t="s">
        <v>60</v>
      </c>
    </row>
    <row r="39" spans="1:5" x14ac:dyDescent="0.3">
      <c r="A39" s="9">
        <v>45325</v>
      </c>
      <c r="B39" t="s">
        <v>85</v>
      </c>
      <c r="C39">
        <v>4287.1099999999997</v>
      </c>
      <c r="D39">
        <v>407.74</v>
      </c>
      <c r="E39" t="s">
        <v>60</v>
      </c>
    </row>
    <row r="40" spans="1:5" x14ac:dyDescent="0.3">
      <c r="A40" s="9">
        <v>45326</v>
      </c>
      <c r="B40" t="s">
        <v>83</v>
      </c>
      <c r="C40">
        <v>4085.94</v>
      </c>
      <c r="D40">
        <v>1035.9100000000001</v>
      </c>
      <c r="E40" t="s">
        <v>58</v>
      </c>
    </row>
    <row r="41" spans="1:5" x14ac:dyDescent="0.3">
      <c r="A41" s="9">
        <v>45327</v>
      </c>
      <c r="B41" t="s">
        <v>85</v>
      </c>
      <c r="C41">
        <v>3779.72</v>
      </c>
      <c r="D41">
        <v>1125.53</v>
      </c>
      <c r="E41" t="s">
        <v>60</v>
      </c>
    </row>
    <row r="42" spans="1:5" x14ac:dyDescent="0.3">
      <c r="A42" s="9">
        <v>45328</v>
      </c>
      <c r="B42" t="s">
        <v>83</v>
      </c>
      <c r="C42">
        <v>1522.9</v>
      </c>
      <c r="D42">
        <v>215.12</v>
      </c>
      <c r="E42" t="s">
        <v>57</v>
      </c>
    </row>
    <row r="43" spans="1:5" x14ac:dyDescent="0.3">
      <c r="A43" s="9">
        <v>45329</v>
      </c>
      <c r="B43" t="s">
        <v>83</v>
      </c>
      <c r="C43">
        <v>4597.97</v>
      </c>
      <c r="D43">
        <v>-29.55</v>
      </c>
      <c r="E43" t="s">
        <v>59</v>
      </c>
    </row>
    <row r="44" spans="1:5" x14ac:dyDescent="0.3">
      <c r="A44" s="9">
        <v>45330</v>
      </c>
      <c r="B44" t="s">
        <v>84</v>
      </c>
      <c r="C44">
        <v>6644.49</v>
      </c>
      <c r="D44">
        <v>946.83</v>
      </c>
      <c r="E44" t="s">
        <v>60</v>
      </c>
    </row>
    <row r="45" spans="1:5" x14ac:dyDescent="0.3">
      <c r="A45" s="9">
        <v>45331</v>
      </c>
      <c r="B45" t="s">
        <v>83</v>
      </c>
      <c r="C45">
        <v>4496.88</v>
      </c>
      <c r="D45">
        <v>555.62</v>
      </c>
      <c r="E45" t="s">
        <v>57</v>
      </c>
    </row>
    <row r="46" spans="1:5" x14ac:dyDescent="0.3">
      <c r="A46" s="9">
        <v>45332</v>
      </c>
      <c r="B46" t="s">
        <v>84</v>
      </c>
      <c r="C46">
        <v>5952.67</v>
      </c>
      <c r="D46">
        <v>929.96</v>
      </c>
      <c r="E46" t="s">
        <v>60</v>
      </c>
    </row>
    <row r="47" spans="1:5" x14ac:dyDescent="0.3">
      <c r="A47" s="9">
        <v>45333</v>
      </c>
      <c r="B47" t="s">
        <v>83</v>
      </c>
      <c r="C47">
        <v>3379.7</v>
      </c>
      <c r="D47">
        <v>154.47999999999999</v>
      </c>
      <c r="E47" t="s">
        <v>59</v>
      </c>
    </row>
    <row r="48" spans="1:5" x14ac:dyDescent="0.3">
      <c r="A48" s="9">
        <v>45334</v>
      </c>
      <c r="B48" t="s">
        <v>83</v>
      </c>
      <c r="C48">
        <v>3041.45</v>
      </c>
      <c r="D48">
        <v>19.75</v>
      </c>
      <c r="E48" t="s">
        <v>57</v>
      </c>
    </row>
    <row r="49" spans="1:5" x14ac:dyDescent="0.3">
      <c r="A49" s="9">
        <v>45335</v>
      </c>
      <c r="B49" t="s">
        <v>84</v>
      </c>
      <c r="C49">
        <v>3873.86</v>
      </c>
      <c r="D49">
        <v>903.34</v>
      </c>
      <c r="E49" t="s">
        <v>59</v>
      </c>
    </row>
    <row r="50" spans="1:5" x14ac:dyDescent="0.3">
      <c r="A50" s="9">
        <v>45336</v>
      </c>
      <c r="B50" t="s">
        <v>84</v>
      </c>
      <c r="C50">
        <v>3461.75</v>
      </c>
      <c r="D50">
        <v>625.11</v>
      </c>
      <c r="E50" t="s">
        <v>59</v>
      </c>
    </row>
    <row r="51" spans="1:5" x14ac:dyDescent="0.3">
      <c r="A51" s="9">
        <v>45337</v>
      </c>
      <c r="B51" t="s">
        <v>83</v>
      </c>
      <c r="C51">
        <v>3225.44</v>
      </c>
      <c r="D51">
        <v>-255.35</v>
      </c>
      <c r="E51" t="s">
        <v>57</v>
      </c>
    </row>
    <row r="52" spans="1:5" x14ac:dyDescent="0.3">
      <c r="A52" s="9">
        <v>45338</v>
      </c>
      <c r="B52" t="s">
        <v>85</v>
      </c>
      <c r="C52">
        <v>5674.66</v>
      </c>
      <c r="D52">
        <v>1471.55</v>
      </c>
      <c r="E52" t="s">
        <v>57</v>
      </c>
    </row>
    <row r="53" spans="1:5" x14ac:dyDescent="0.3">
      <c r="A53" s="9">
        <v>45339</v>
      </c>
      <c r="B53" t="s">
        <v>84</v>
      </c>
      <c r="C53">
        <v>7668.39</v>
      </c>
      <c r="D53">
        <v>146.16999999999999</v>
      </c>
      <c r="E53" t="s">
        <v>57</v>
      </c>
    </row>
    <row r="54" spans="1:5" x14ac:dyDescent="0.3">
      <c r="A54" s="9">
        <v>45340</v>
      </c>
      <c r="B54" t="s">
        <v>85</v>
      </c>
      <c r="C54">
        <v>3999.58</v>
      </c>
      <c r="D54">
        <v>2086.66</v>
      </c>
      <c r="E54" t="s">
        <v>58</v>
      </c>
    </row>
    <row r="55" spans="1:5" x14ac:dyDescent="0.3">
      <c r="A55" s="9">
        <v>45341</v>
      </c>
      <c r="B55" t="s">
        <v>85</v>
      </c>
      <c r="C55">
        <v>2462.27</v>
      </c>
      <c r="D55">
        <v>487.99</v>
      </c>
      <c r="E55" t="s">
        <v>57</v>
      </c>
    </row>
    <row r="56" spans="1:5" x14ac:dyDescent="0.3">
      <c r="A56" s="9">
        <v>45342</v>
      </c>
      <c r="B56" t="s">
        <v>85</v>
      </c>
      <c r="C56">
        <v>5985.2</v>
      </c>
      <c r="D56">
        <v>1000.78</v>
      </c>
      <c r="E56" t="s">
        <v>57</v>
      </c>
    </row>
    <row r="57" spans="1:5" x14ac:dyDescent="0.3">
      <c r="A57" s="9">
        <v>45343</v>
      </c>
      <c r="B57" t="s">
        <v>84</v>
      </c>
      <c r="C57">
        <v>2846.15</v>
      </c>
      <c r="D57">
        <v>1623.47</v>
      </c>
      <c r="E57" t="s">
        <v>57</v>
      </c>
    </row>
    <row r="58" spans="1:5" x14ac:dyDescent="0.3">
      <c r="A58" s="9">
        <v>45344</v>
      </c>
      <c r="B58" t="s">
        <v>85</v>
      </c>
      <c r="C58">
        <v>3225.1</v>
      </c>
      <c r="D58">
        <v>1539.72</v>
      </c>
      <c r="E58" t="s">
        <v>57</v>
      </c>
    </row>
    <row r="59" spans="1:5" x14ac:dyDescent="0.3">
      <c r="A59" s="9">
        <v>45345</v>
      </c>
      <c r="B59" t="s">
        <v>84</v>
      </c>
      <c r="C59">
        <v>5742.49</v>
      </c>
      <c r="D59">
        <v>1793.07</v>
      </c>
      <c r="E59" t="s">
        <v>60</v>
      </c>
    </row>
    <row r="60" spans="1:5" x14ac:dyDescent="0.3">
      <c r="A60" s="9">
        <v>45346</v>
      </c>
      <c r="B60" t="s">
        <v>85</v>
      </c>
      <c r="C60">
        <v>4752.04</v>
      </c>
      <c r="D60">
        <v>38.46</v>
      </c>
      <c r="E60" t="s">
        <v>58</v>
      </c>
    </row>
    <row r="61" spans="1:5" x14ac:dyDescent="0.3">
      <c r="A61" s="9">
        <v>45347</v>
      </c>
      <c r="B61" t="s">
        <v>83</v>
      </c>
      <c r="C61">
        <v>3969.24</v>
      </c>
      <c r="D61">
        <v>232.07</v>
      </c>
      <c r="E61" t="s">
        <v>59</v>
      </c>
    </row>
    <row r="62" spans="1:5" x14ac:dyDescent="0.3">
      <c r="A62" s="9">
        <v>45348</v>
      </c>
      <c r="B62" t="s">
        <v>83</v>
      </c>
      <c r="C62">
        <v>5102.53</v>
      </c>
      <c r="D62">
        <v>913</v>
      </c>
      <c r="E62" t="s">
        <v>57</v>
      </c>
    </row>
    <row r="63" spans="1:5" x14ac:dyDescent="0.3">
      <c r="A63" s="9">
        <v>45349</v>
      </c>
      <c r="B63" t="s">
        <v>84</v>
      </c>
      <c r="C63">
        <v>4385.8900000000003</v>
      </c>
      <c r="D63">
        <v>1219.8699999999999</v>
      </c>
      <c r="E63" t="s">
        <v>60</v>
      </c>
    </row>
    <row r="64" spans="1:5" x14ac:dyDescent="0.3">
      <c r="A64" s="9">
        <v>45350</v>
      </c>
      <c r="B64" t="s">
        <v>83</v>
      </c>
      <c r="C64">
        <v>7834.32</v>
      </c>
      <c r="D64">
        <v>794.39</v>
      </c>
      <c r="E64" t="s">
        <v>60</v>
      </c>
    </row>
    <row r="65" spans="1:5" x14ac:dyDescent="0.3">
      <c r="A65" s="9">
        <v>45351</v>
      </c>
      <c r="B65" t="s">
        <v>83</v>
      </c>
      <c r="C65">
        <v>3986.29</v>
      </c>
      <c r="D65">
        <v>-19</v>
      </c>
      <c r="E65" t="s">
        <v>60</v>
      </c>
    </row>
    <row r="66" spans="1:5" x14ac:dyDescent="0.3">
      <c r="A66" s="9">
        <v>45352</v>
      </c>
      <c r="B66" t="s">
        <v>85</v>
      </c>
      <c r="C66">
        <v>3629.88</v>
      </c>
      <c r="D66">
        <v>1048.29</v>
      </c>
      <c r="E66" t="s">
        <v>59</v>
      </c>
    </row>
    <row r="67" spans="1:5" x14ac:dyDescent="0.3">
      <c r="A67" s="9">
        <v>45353</v>
      </c>
      <c r="B67" t="s">
        <v>84</v>
      </c>
      <c r="C67">
        <v>4317.45</v>
      </c>
      <c r="D67">
        <v>702.87</v>
      </c>
      <c r="E67" t="s">
        <v>57</v>
      </c>
    </row>
    <row r="68" spans="1:5" x14ac:dyDescent="0.3">
      <c r="A68" s="9">
        <v>45354</v>
      </c>
      <c r="B68" t="s">
        <v>85</v>
      </c>
      <c r="C68">
        <v>4380.8599999999997</v>
      </c>
      <c r="D68">
        <v>696.88</v>
      </c>
      <c r="E68" t="s">
        <v>58</v>
      </c>
    </row>
    <row r="69" spans="1:5" x14ac:dyDescent="0.3">
      <c r="A69" s="9">
        <v>45355</v>
      </c>
      <c r="B69" t="s">
        <v>85</v>
      </c>
      <c r="C69">
        <v>5893.47</v>
      </c>
      <c r="D69">
        <v>-338.98</v>
      </c>
      <c r="E69" t="s">
        <v>58</v>
      </c>
    </row>
    <row r="70" spans="1:5" x14ac:dyDescent="0.3">
      <c r="A70" s="9">
        <v>45356</v>
      </c>
      <c r="B70" t="s">
        <v>85</v>
      </c>
      <c r="C70">
        <v>2012.69</v>
      </c>
      <c r="D70">
        <v>1198.74</v>
      </c>
      <c r="E70" t="s">
        <v>60</v>
      </c>
    </row>
    <row r="71" spans="1:5" x14ac:dyDescent="0.3">
      <c r="A71" s="9">
        <v>45357</v>
      </c>
      <c r="B71" t="s">
        <v>85</v>
      </c>
      <c r="C71">
        <v>5639.04</v>
      </c>
      <c r="D71">
        <v>872.6</v>
      </c>
      <c r="E71" t="s">
        <v>59</v>
      </c>
    </row>
    <row r="72" spans="1:5" x14ac:dyDescent="0.3">
      <c r="A72" s="9">
        <v>45358</v>
      </c>
      <c r="B72" t="s">
        <v>85</v>
      </c>
      <c r="C72">
        <v>4188.07</v>
      </c>
      <c r="D72">
        <v>1697.58</v>
      </c>
      <c r="E72" t="s">
        <v>59</v>
      </c>
    </row>
    <row r="73" spans="1:5" x14ac:dyDescent="0.3">
      <c r="A73" s="9">
        <v>45359</v>
      </c>
      <c r="B73" t="s">
        <v>85</v>
      </c>
      <c r="C73">
        <v>6165.23</v>
      </c>
      <c r="D73">
        <v>762.75</v>
      </c>
      <c r="E73" t="s">
        <v>59</v>
      </c>
    </row>
    <row r="74" spans="1:5" x14ac:dyDescent="0.3">
      <c r="A74" s="9">
        <v>45360</v>
      </c>
      <c r="B74" t="s">
        <v>85</v>
      </c>
      <c r="C74">
        <v>4928.53</v>
      </c>
      <c r="D74">
        <v>1083.17</v>
      </c>
      <c r="E74" t="s">
        <v>58</v>
      </c>
    </row>
    <row r="75" spans="1:5" x14ac:dyDescent="0.3">
      <c r="A75" s="9">
        <v>45361</v>
      </c>
      <c r="B75" t="s">
        <v>84</v>
      </c>
      <c r="C75">
        <v>5778.04</v>
      </c>
      <c r="D75">
        <v>1215.9100000000001</v>
      </c>
      <c r="E75" t="s">
        <v>60</v>
      </c>
    </row>
    <row r="76" spans="1:5" x14ac:dyDescent="0.3">
      <c r="A76" s="9">
        <v>45362</v>
      </c>
      <c r="B76" t="s">
        <v>83</v>
      </c>
      <c r="C76">
        <v>4412.8999999999996</v>
      </c>
      <c r="D76">
        <v>-73.08</v>
      </c>
      <c r="E76" t="s">
        <v>57</v>
      </c>
    </row>
    <row r="77" spans="1:5" x14ac:dyDescent="0.3">
      <c r="A77" s="9">
        <v>45363</v>
      </c>
      <c r="B77" t="s">
        <v>85</v>
      </c>
      <c r="C77">
        <v>5657.03</v>
      </c>
      <c r="D77">
        <v>2108.35</v>
      </c>
      <c r="E77" t="s">
        <v>58</v>
      </c>
    </row>
    <row r="78" spans="1:5" x14ac:dyDescent="0.3">
      <c r="A78" s="9">
        <v>45364</v>
      </c>
      <c r="B78" t="s">
        <v>85</v>
      </c>
      <c r="C78">
        <v>7495.65</v>
      </c>
      <c r="D78">
        <v>584.6</v>
      </c>
      <c r="E78" t="s">
        <v>60</v>
      </c>
    </row>
    <row r="79" spans="1:5" x14ac:dyDescent="0.3">
      <c r="A79" s="9">
        <v>45365</v>
      </c>
      <c r="B79" t="s">
        <v>85</v>
      </c>
      <c r="C79">
        <v>3891.15</v>
      </c>
      <c r="D79">
        <v>1047.28</v>
      </c>
      <c r="E79" t="s">
        <v>60</v>
      </c>
    </row>
    <row r="80" spans="1:5" x14ac:dyDescent="0.3">
      <c r="A80" s="9">
        <v>45366</v>
      </c>
      <c r="B80" t="s">
        <v>85</v>
      </c>
      <c r="C80">
        <v>4839.21</v>
      </c>
      <c r="D80">
        <v>1120.29</v>
      </c>
      <c r="E80" t="s">
        <v>57</v>
      </c>
    </row>
    <row r="81" spans="1:5" x14ac:dyDescent="0.3">
      <c r="A81" s="9">
        <v>45367</v>
      </c>
      <c r="B81" t="s">
        <v>85</v>
      </c>
      <c r="C81">
        <v>4270.67</v>
      </c>
      <c r="D81">
        <v>392.61</v>
      </c>
      <c r="E81" t="s">
        <v>57</v>
      </c>
    </row>
    <row r="82" spans="1:5" x14ac:dyDescent="0.3">
      <c r="A82" s="9">
        <v>45368</v>
      </c>
      <c r="B82" t="s">
        <v>85</v>
      </c>
      <c r="C82">
        <v>7389.47</v>
      </c>
      <c r="D82">
        <v>1723.49</v>
      </c>
      <c r="E82" t="s">
        <v>57</v>
      </c>
    </row>
    <row r="83" spans="1:5" x14ac:dyDescent="0.3">
      <c r="A83" s="9">
        <v>45369</v>
      </c>
      <c r="B83" t="s">
        <v>83</v>
      </c>
      <c r="C83">
        <v>4349.09</v>
      </c>
      <c r="D83">
        <v>932.98</v>
      </c>
      <c r="E83" t="s">
        <v>59</v>
      </c>
    </row>
    <row r="84" spans="1:5" x14ac:dyDescent="0.3">
      <c r="A84" s="9">
        <v>45370</v>
      </c>
      <c r="B84" t="s">
        <v>83</v>
      </c>
      <c r="C84">
        <v>3900.96</v>
      </c>
      <c r="D84">
        <v>693.26</v>
      </c>
      <c r="E84" t="s">
        <v>57</v>
      </c>
    </row>
    <row r="85" spans="1:5" x14ac:dyDescent="0.3">
      <c r="A85" s="9">
        <v>45371</v>
      </c>
      <c r="B85" t="s">
        <v>85</v>
      </c>
      <c r="C85">
        <v>4132.58</v>
      </c>
      <c r="D85">
        <v>869.25</v>
      </c>
      <c r="E85" t="s">
        <v>60</v>
      </c>
    </row>
    <row r="86" spans="1:5" x14ac:dyDescent="0.3">
      <c r="A86" s="9">
        <v>45372</v>
      </c>
      <c r="B86" t="s">
        <v>83</v>
      </c>
      <c r="C86">
        <v>4796.42</v>
      </c>
      <c r="D86">
        <v>1182.1300000000001</v>
      </c>
      <c r="E86" t="s">
        <v>57</v>
      </c>
    </row>
    <row r="87" spans="1:5" x14ac:dyDescent="0.3">
      <c r="A87" s="9">
        <v>45373</v>
      </c>
      <c r="B87" t="s">
        <v>84</v>
      </c>
      <c r="C87">
        <v>3809.74</v>
      </c>
      <c r="D87">
        <v>805.4</v>
      </c>
      <c r="E87" t="s">
        <v>60</v>
      </c>
    </row>
    <row r="88" spans="1:5" x14ac:dyDescent="0.3">
      <c r="A88" s="9">
        <v>45374</v>
      </c>
      <c r="B88" t="s">
        <v>85</v>
      </c>
      <c r="C88">
        <v>4447.33</v>
      </c>
      <c r="D88">
        <v>1240.96</v>
      </c>
      <c r="E88" t="s">
        <v>58</v>
      </c>
    </row>
    <row r="89" spans="1:5" x14ac:dyDescent="0.3">
      <c r="A89" s="9">
        <v>45375</v>
      </c>
      <c r="B89" t="s">
        <v>84</v>
      </c>
      <c r="C89">
        <v>5235.8</v>
      </c>
      <c r="D89">
        <v>-42.44</v>
      </c>
      <c r="E89" t="s">
        <v>59</v>
      </c>
    </row>
    <row r="90" spans="1:5" x14ac:dyDescent="0.3">
      <c r="A90" s="9">
        <v>45376</v>
      </c>
      <c r="B90" t="s">
        <v>84</v>
      </c>
      <c r="C90">
        <v>4826.79</v>
      </c>
      <c r="D90">
        <v>426.02</v>
      </c>
      <c r="E90" t="s">
        <v>58</v>
      </c>
    </row>
    <row r="91" spans="1:5" x14ac:dyDescent="0.3">
      <c r="A91" s="9">
        <v>45377</v>
      </c>
      <c r="B91" t="s">
        <v>85</v>
      </c>
      <c r="C91">
        <v>6247.56</v>
      </c>
      <c r="D91">
        <v>-269.39999999999998</v>
      </c>
      <c r="E91" t="s">
        <v>58</v>
      </c>
    </row>
    <row r="92" spans="1:5" x14ac:dyDescent="0.3">
      <c r="A92" s="9">
        <v>45378</v>
      </c>
      <c r="B92" t="s">
        <v>83</v>
      </c>
      <c r="C92">
        <v>4520.97</v>
      </c>
      <c r="D92">
        <v>1798.5</v>
      </c>
      <c r="E92" t="s">
        <v>60</v>
      </c>
    </row>
    <row r="93" spans="1:5" x14ac:dyDescent="0.3">
      <c r="A93" s="9">
        <v>45379</v>
      </c>
      <c r="B93" t="s">
        <v>84</v>
      </c>
      <c r="C93">
        <v>4693.08</v>
      </c>
      <c r="D93">
        <v>1792</v>
      </c>
      <c r="E93" t="s">
        <v>58</v>
      </c>
    </row>
    <row r="94" spans="1:5" x14ac:dyDescent="0.3">
      <c r="A94" s="9">
        <v>45380</v>
      </c>
      <c r="B94" t="s">
        <v>85</v>
      </c>
      <c r="C94">
        <v>5406.59</v>
      </c>
      <c r="D94">
        <v>1113.31</v>
      </c>
      <c r="E94" t="s">
        <v>60</v>
      </c>
    </row>
    <row r="95" spans="1:5" x14ac:dyDescent="0.3">
      <c r="A95" s="9">
        <v>45381</v>
      </c>
      <c r="B95" t="s">
        <v>84</v>
      </c>
      <c r="C95">
        <v>8367.2099999999991</v>
      </c>
      <c r="D95">
        <v>293.69</v>
      </c>
      <c r="E95" t="s">
        <v>57</v>
      </c>
    </row>
    <row r="96" spans="1:5" x14ac:dyDescent="0.3">
      <c r="A96" s="9">
        <v>45382</v>
      </c>
      <c r="B96" t="s">
        <v>84</v>
      </c>
      <c r="C96">
        <v>3818.6</v>
      </c>
      <c r="D96">
        <v>1994.94</v>
      </c>
      <c r="E96" t="s">
        <v>57</v>
      </c>
    </row>
    <row r="97" spans="1:5" x14ac:dyDescent="0.3">
      <c r="A97" s="9">
        <v>45383</v>
      </c>
      <c r="B97" t="s">
        <v>84</v>
      </c>
      <c r="C97">
        <v>7885.44</v>
      </c>
      <c r="D97">
        <v>497.79</v>
      </c>
      <c r="E97" t="s">
        <v>60</v>
      </c>
    </row>
    <row r="98" spans="1:5" x14ac:dyDescent="0.3">
      <c r="A98" s="9">
        <v>45384</v>
      </c>
      <c r="B98" t="s">
        <v>84</v>
      </c>
      <c r="C98">
        <v>3224.64</v>
      </c>
      <c r="D98">
        <v>693.4</v>
      </c>
      <c r="E98" t="s">
        <v>57</v>
      </c>
    </row>
    <row r="99" spans="1:5" x14ac:dyDescent="0.3">
      <c r="A99" s="9">
        <v>45385</v>
      </c>
      <c r="B99" t="s">
        <v>83</v>
      </c>
      <c r="C99">
        <v>5343.46</v>
      </c>
      <c r="D99">
        <v>879.77</v>
      </c>
      <c r="E99" t="s">
        <v>59</v>
      </c>
    </row>
    <row r="100" spans="1:5" x14ac:dyDescent="0.3">
      <c r="A100" s="9">
        <v>45386</v>
      </c>
      <c r="B100" t="s">
        <v>84</v>
      </c>
      <c r="C100">
        <v>4490.92</v>
      </c>
      <c r="D100">
        <v>1025.76</v>
      </c>
      <c r="E100" t="s">
        <v>58</v>
      </c>
    </row>
    <row r="101" spans="1:5" x14ac:dyDescent="0.3">
      <c r="A101" s="9">
        <v>45387</v>
      </c>
      <c r="B101" t="s">
        <v>84</v>
      </c>
      <c r="C101">
        <v>3777.09</v>
      </c>
      <c r="D101">
        <v>1121.9000000000001</v>
      </c>
      <c r="E101" t="s">
        <v>59</v>
      </c>
    </row>
    <row r="102" spans="1:5" x14ac:dyDescent="0.3">
      <c r="A102" s="9">
        <v>45388</v>
      </c>
      <c r="B102" t="s">
        <v>84</v>
      </c>
      <c r="C102">
        <v>6048.64</v>
      </c>
      <c r="D102">
        <v>1141.98</v>
      </c>
      <c r="E102" t="s">
        <v>58</v>
      </c>
    </row>
    <row r="103" spans="1:5" x14ac:dyDescent="0.3">
      <c r="A103" s="9">
        <v>45389</v>
      </c>
      <c r="B103" t="s">
        <v>83</v>
      </c>
      <c r="C103">
        <v>5899.84</v>
      </c>
      <c r="D103">
        <v>727.74</v>
      </c>
      <c r="E103" t="s">
        <v>57</v>
      </c>
    </row>
    <row r="104" spans="1:5" x14ac:dyDescent="0.3">
      <c r="A104" s="9">
        <v>45390</v>
      </c>
      <c r="B104" t="s">
        <v>84</v>
      </c>
      <c r="C104">
        <v>4278.13</v>
      </c>
      <c r="D104">
        <v>1134.05</v>
      </c>
      <c r="E104" t="s">
        <v>59</v>
      </c>
    </row>
    <row r="105" spans="1:5" x14ac:dyDescent="0.3">
      <c r="A105" s="9">
        <v>45391</v>
      </c>
      <c r="B105" t="s">
        <v>84</v>
      </c>
      <c r="C105">
        <v>1859.31</v>
      </c>
      <c r="D105">
        <v>705.4</v>
      </c>
      <c r="E105" t="s">
        <v>57</v>
      </c>
    </row>
    <row r="106" spans="1:5" x14ac:dyDescent="0.3">
      <c r="A106" s="9">
        <v>45392</v>
      </c>
      <c r="B106" t="s">
        <v>83</v>
      </c>
      <c r="C106">
        <v>4369.93</v>
      </c>
      <c r="D106">
        <v>1089.6500000000001</v>
      </c>
      <c r="E106" t="s">
        <v>58</v>
      </c>
    </row>
    <row r="107" spans="1:5" x14ac:dyDescent="0.3">
      <c r="A107" s="9">
        <v>45393</v>
      </c>
      <c r="B107" t="s">
        <v>83</v>
      </c>
      <c r="C107">
        <v>5208.8100000000004</v>
      </c>
      <c r="D107">
        <v>1048.6500000000001</v>
      </c>
      <c r="E107" t="s">
        <v>60</v>
      </c>
    </row>
    <row r="108" spans="1:5" x14ac:dyDescent="0.3">
      <c r="A108" s="9">
        <v>45394</v>
      </c>
      <c r="B108" t="s">
        <v>83</v>
      </c>
      <c r="C108">
        <v>5002.72</v>
      </c>
      <c r="D108">
        <v>1181.42</v>
      </c>
      <c r="E108" t="s">
        <v>60</v>
      </c>
    </row>
    <row r="109" spans="1:5" x14ac:dyDescent="0.3">
      <c r="A109" s="9">
        <v>45395</v>
      </c>
      <c r="B109" t="s">
        <v>84</v>
      </c>
      <c r="C109">
        <v>6133.9</v>
      </c>
      <c r="D109">
        <v>1118.98</v>
      </c>
      <c r="E109" t="s">
        <v>59</v>
      </c>
    </row>
    <row r="110" spans="1:5" x14ac:dyDescent="0.3">
      <c r="A110" s="9">
        <v>45396</v>
      </c>
      <c r="B110" t="s">
        <v>83</v>
      </c>
      <c r="C110">
        <v>7900.31</v>
      </c>
      <c r="D110">
        <v>578.78</v>
      </c>
      <c r="E110" t="s">
        <v>57</v>
      </c>
    </row>
    <row r="111" spans="1:5" x14ac:dyDescent="0.3">
      <c r="A111" s="9">
        <v>45397</v>
      </c>
      <c r="B111" t="s">
        <v>83</v>
      </c>
      <c r="C111">
        <v>5620.81</v>
      </c>
      <c r="D111">
        <v>1029.3599999999999</v>
      </c>
      <c r="E111" t="s">
        <v>57</v>
      </c>
    </row>
    <row r="112" spans="1:5" x14ac:dyDescent="0.3">
      <c r="A112" s="9">
        <v>45398</v>
      </c>
      <c r="B112" t="s">
        <v>84</v>
      </c>
      <c r="C112">
        <v>5851.65</v>
      </c>
      <c r="D112">
        <v>1126.7</v>
      </c>
      <c r="E112" t="s">
        <v>59</v>
      </c>
    </row>
    <row r="113" spans="1:5" x14ac:dyDescent="0.3">
      <c r="A113" s="9">
        <v>45399</v>
      </c>
      <c r="B113" t="s">
        <v>83</v>
      </c>
      <c r="C113">
        <v>5222.2700000000004</v>
      </c>
      <c r="D113">
        <v>154.44</v>
      </c>
      <c r="E113" t="s">
        <v>60</v>
      </c>
    </row>
    <row r="114" spans="1:5" x14ac:dyDescent="0.3">
      <c r="A114" s="9">
        <v>45400</v>
      </c>
      <c r="B114" t="s">
        <v>84</v>
      </c>
      <c r="C114">
        <v>6758.65</v>
      </c>
      <c r="D114">
        <v>662.98</v>
      </c>
      <c r="E114" t="s">
        <v>58</v>
      </c>
    </row>
    <row r="115" spans="1:5" x14ac:dyDescent="0.3">
      <c r="A115" s="9">
        <v>45401</v>
      </c>
      <c r="B115" t="s">
        <v>85</v>
      </c>
      <c r="C115">
        <v>5797.1</v>
      </c>
      <c r="D115">
        <v>1104.06</v>
      </c>
      <c r="E115" t="s">
        <v>59</v>
      </c>
    </row>
    <row r="116" spans="1:5" x14ac:dyDescent="0.3">
      <c r="A116" s="9">
        <v>45402</v>
      </c>
      <c r="B116" t="s">
        <v>83</v>
      </c>
      <c r="C116">
        <v>6123.66</v>
      </c>
      <c r="D116">
        <v>1654.65</v>
      </c>
      <c r="E116" t="s">
        <v>58</v>
      </c>
    </row>
    <row r="117" spans="1:5" x14ac:dyDescent="0.3">
      <c r="A117" s="9">
        <v>45403</v>
      </c>
      <c r="B117" t="s">
        <v>85</v>
      </c>
      <c r="C117">
        <v>7713.44</v>
      </c>
      <c r="D117">
        <v>1212.45</v>
      </c>
      <c r="E117" t="s">
        <v>60</v>
      </c>
    </row>
    <row r="118" spans="1:5" x14ac:dyDescent="0.3">
      <c r="A118" s="9">
        <v>45404</v>
      </c>
      <c r="B118" t="s">
        <v>84</v>
      </c>
      <c r="C118">
        <v>5340.48</v>
      </c>
      <c r="D118">
        <v>1686.19</v>
      </c>
      <c r="E118" t="s">
        <v>57</v>
      </c>
    </row>
    <row r="119" spans="1:5" x14ac:dyDescent="0.3">
      <c r="A119" s="9">
        <v>45405</v>
      </c>
      <c r="B119" t="s">
        <v>83</v>
      </c>
      <c r="C119">
        <v>4593.5600000000004</v>
      </c>
      <c r="D119">
        <v>600.80999999999995</v>
      </c>
      <c r="E119" t="s">
        <v>60</v>
      </c>
    </row>
    <row r="120" spans="1:5" x14ac:dyDescent="0.3">
      <c r="A120" s="9">
        <v>45406</v>
      </c>
      <c r="B120" t="s">
        <v>84</v>
      </c>
      <c r="C120">
        <v>5669.43</v>
      </c>
      <c r="D120">
        <v>925.1</v>
      </c>
      <c r="E120" t="s">
        <v>59</v>
      </c>
    </row>
    <row r="121" spans="1:5" x14ac:dyDescent="0.3">
      <c r="A121" s="9">
        <v>45407</v>
      </c>
      <c r="B121" t="s">
        <v>85</v>
      </c>
      <c r="C121">
        <v>6704.36</v>
      </c>
      <c r="D121">
        <v>1202.8699999999999</v>
      </c>
      <c r="E121" t="s">
        <v>57</v>
      </c>
    </row>
    <row r="122" spans="1:5" x14ac:dyDescent="0.3">
      <c r="A122" s="9">
        <v>45408</v>
      </c>
      <c r="B122" t="s">
        <v>84</v>
      </c>
      <c r="C122">
        <v>5752.14</v>
      </c>
      <c r="D122">
        <v>-363.18</v>
      </c>
      <c r="E122" t="s">
        <v>59</v>
      </c>
    </row>
    <row r="123" spans="1:5" x14ac:dyDescent="0.3">
      <c r="A123" s="9">
        <v>45409</v>
      </c>
      <c r="B123" t="s">
        <v>83</v>
      </c>
      <c r="C123">
        <v>6590.96</v>
      </c>
      <c r="D123">
        <v>1555.4</v>
      </c>
      <c r="E123" t="s">
        <v>59</v>
      </c>
    </row>
    <row r="124" spans="1:5" x14ac:dyDescent="0.3">
      <c r="A124" s="9">
        <v>45410</v>
      </c>
      <c r="B124" t="s">
        <v>83</v>
      </c>
      <c r="C124">
        <v>3996.54</v>
      </c>
      <c r="D124">
        <v>-130.44999999999999</v>
      </c>
      <c r="E124" t="s">
        <v>60</v>
      </c>
    </row>
    <row r="125" spans="1:5" x14ac:dyDescent="0.3">
      <c r="A125" s="9">
        <v>45411</v>
      </c>
      <c r="B125" t="s">
        <v>85</v>
      </c>
      <c r="C125">
        <v>3697.87</v>
      </c>
      <c r="D125">
        <v>1298.47</v>
      </c>
      <c r="E125" t="s">
        <v>59</v>
      </c>
    </row>
    <row r="126" spans="1:5" x14ac:dyDescent="0.3">
      <c r="A126" s="9">
        <v>45412</v>
      </c>
      <c r="B126" t="s">
        <v>84</v>
      </c>
      <c r="C126">
        <v>4182.4399999999996</v>
      </c>
      <c r="D126">
        <v>1143.42</v>
      </c>
      <c r="E126" t="s">
        <v>60</v>
      </c>
    </row>
    <row r="127" spans="1:5" x14ac:dyDescent="0.3">
      <c r="A127" s="9">
        <v>45413</v>
      </c>
      <c r="B127" t="s">
        <v>83</v>
      </c>
      <c r="C127">
        <v>3098.93</v>
      </c>
      <c r="D127">
        <v>-369.8</v>
      </c>
      <c r="E127" t="s">
        <v>57</v>
      </c>
    </row>
    <row r="128" spans="1:5" x14ac:dyDescent="0.3">
      <c r="A128" s="9">
        <v>45414</v>
      </c>
      <c r="B128" t="s">
        <v>85</v>
      </c>
      <c r="C128">
        <v>5165.45</v>
      </c>
      <c r="D128">
        <v>-344.53</v>
      </c>
      <c r="E128" t="s">
        <v>60</v>
      </c>
    </row>
    <row r="129" spans="1:5" x14ac:dyDescent="0.3">
      <c r="A129" s="9">
        <v>45415</v>
      </c>
      <c r="B129" t="s">
        <v>83</v>
      </c>
      <c r="C129">
        <v>4354.96</v>
      </c>
      <c r="D129">
        <v>1516.24</v>
      </c>
      <c r="E129" t="s">
        <v>57</v>
      </c>
    </row>
    <row r="130" spans="1:5" x14ac:dyDescent="0.3">
      <c r="A130" s="9">
        <v>45416</v>
      </c>
      <c r="B130" t="s">
        <v>83</v>
      </c>
      <c r="C130">
        <v>6845.32</v>
      </c>
      <c r="D130">
        <v>1407.36</v>
      </c>
      <c r="E130" t="s">
        <v>60</v>
      </c>
    </row>
    <row r="131" spans="1:5" x14ac:dyDescent="0.3">
      <c r="A131" s="9">
        <v>45417</v>
      </c>
      <c r="B131" t="s">
        <v>84</v>
      </c>
      <c r="C131">
        <v>3063.16</v>
      </c>
      <c r="D131">
        <v>359.57</v>
      </c>
      <c r="E131" t="s">
        <v>58</v>
      </c>
    </row>
    <row r="132" spans="1:5" x14ac:dyDescent="0.3">
      <c r="A132" s="9">
        <v>45418</v>
      </c>
      <c r="B132" t="s">
        <v>83</v>
      </c>
      <c r="C132">
        <v>7332.38</v>
      </c>
      <c r="D132">
        <v>359.06</v>
      </c>
      <c r="E132" t="s">
        <v>58</v>
      </c>
    </row>
    <row r="133" spans="1:5" x14ac:dyDescent="0.3">
      <c r="A133" s="9">
        <v>45419</v>
      </c>
      <c r="B133" t="s">
        <v>84</v>
      </c>
      <c r="C133">
        <v>3528.2</v>
      </c>
      <c r="D133">
        <v>1056.3</v>
      </c>
      <c r="E133" t="s">
        <v>59</v>
      </c>
    </row>
    <row r="134" spans="1:5" x14ac:dyDescent="0.3">
      <c r="A134" s="9">
        <v>45420</v>
      </c>
      <c r="B134" t="s">
        <v>83</v>
      </c>
      <c r="C134">
        <v>3142.65</v>
      </c>
      <c r="D134">
        <v>793.63</v>
      </c>
      <c r="E134" t="s">
        <v>60</v>
      </c>
    </row>
    <row r="135" spans="1:5" x14ac:dyDescent="0.3">
      <c r="A135" s="9">
        <v>45421</v>
      </c>
      <c r="B135" t="s">
        <v>85</v>
      </c>
      <c r="C135">
        <v>3763.02</v>
      </c>
      <c r="D135">
        <v>1327.2</v>
      </c>
      <c r="E135" t="s">
        <v>60</v>
      </c>
    </row>
    <row r="136" spans="1:5" x14ac:dyDescent="0.3">
      <c r="A136" s="9">
        <v>45422</v>
      </c>
      <c r="B136" t="s">
        <v>83</v>
      </c>
      <c r="C136">
        <v>7926.92</v>
      </c>
      <c r="D136">
        <v>1039.79</v>
      </c>
      <c r="E136" t="s">
        <v>57</v>
      </c>
    </row>
    <row r="137" spans="1:5" x14ac:dyDescent="0.3">
      <c r="A137" s="9">
        <v>45423</v>
      </c>
      <c r="B137" t="s">
        <v>84</v>
      </c>
      <c r="C137">
        <v>4939.87</v>
      </c>
      <c r="D137">
        <v>1591.52</v>
      </c>
      <c r="E137" t="s">
        <v>59</v>
      </c>
    </row>
    <row r="138" spans="1:5" x14ac:dyDescent="0.3">
      <c r="A138" s="9">
        <v>45424</v>
      </c>
      <c r="B138" t="s">
        <v>84</v>
      </c>
      <c r="C138">
        <v>5794.15</v>
      </c>
      <c r="D138">
        <v>1285.04</v>
      </c>
      <c r="E138" t="s">
        <v>60</v>
      </c>
    </row>
    <row r="139" spans="1:5" x14ac:dyDescent="0.3">
      <c r="A139" s="9">
        <v>45425</v>
      </c>
      <c r="B139" t="s">
        <v>85</v>
      </c>
      <c r="C139">
        <v>4724.16</v>
      </c>
      <c r="D139">
        <v>1160.3900000000001</v>
      </c>
      <c r="E139" t="s">
        <v>59</v>
      </c>
    </row>
    <row r="140" spans="1:5" x14ac:dyDescent="0.3">
      <c r="A140" s="9">
        <v>45426</v>
      </c>
      <c r="B140" t="s">
        <v>83</v>
      </c>
      <c r="C140">
        <v>4864.88</v>
      </c>
      <c r="D140">
        <v>623.94000000000005</v>
      </c>
      <c r="E140" t="s">
        <v>58</v>
      </c>
    </row>
    <row r="141" spans="1:5" x14ac:dyDescent="0.3">
      <c r="A141" s="9">
        <v>45427</v>
      </c>
      <c r="B141" t="s">
        <v>83</v>
      </c>
      <c r="C141">
        <v>4241.18</v>
      </c>
      <c r="D141">
        <v>587.34</v>
      </c>
      <c r="E141" t="s">
        <v>60</v>
      </c>
    </row>
    <row r="142" spans="1:5" x14ac:dyDescent="0.3">
      <c r="A142" s="9">
        <v>45428</v>
      </c>
      <c r="B142" t="s">
        <v>85</v>
      </c>
      <c r="C142">
        <v>5076.12</v>
      </c>
      <c r="D142">
        <v>774.12</v>
      </c>
      <c r="E142" t="s">
        <v>60</v>
      </c>
    </row>
    <row r="143" spans="1:5" x14ac:dyDescent="0.3">
      <c r="A143" s="9">
        <v>45429</v>
      </c>
      <c r="B143" t="s">
        <v>83</v>
      </c>
      <c r="C143">
        <v>5741.9</v>
      </c>
      <c r="D143">
        <v>1720.47</v>
      </c>
      <c r="E143" t="s">
        <v>59</v>
      </c>
    </row>
    <row r="144" spans="1:5" x14ac:dyDescent="0.3">
      <c r="A144" s="9">
        <v>45430</v>
      </c>
      <c r="B144" t="s">
        <v>83</v>
      </c>
      <c r="C144">
        <v>7517.46</v>
      </c>
      <c r="D144">
        <v>596.86</v>
      </c>
      <c r="E144" t="s">
        <v>60</v>
      </c>
    </row>
    <row r="145" spans="1:5" x14ac:dyDescent="0.3">
      <c r="A145" s="9">
        <v>45431</v>
      </c>
      <c r="B145" t="s">
        <v>84</v>
      </c>
      <c r="C145">
        <v>2188.3000000000002</v>
      </c>
      <c r="D145">
        <v>930.26</v>
      </c>
      <c r="E145" t="s">
        <v>59</v>
      </c>
    </row>
    <row r="146" spans="1:5" x14ac:dyDescent="0.3">
      <c r="A146" s="9">
        <v>45432</v>
      </c>
      <c r="B146" t="s">
        <v>83</v>
      </c>
      <c r="C146">
        <v>7416.23</v>
      </c>
      <c r="D146">
        <v>-322.39999999999998</v>
      </c>
      <c r="E146" t="s">
        <v>60</v>
      </c>
    </row>
    <row r="147" spans="1:5" x14ac:dyDescent="0.3">
      <c r="A147" s="9">
        <v>45433</v>
      </c>
      <c r="B147" t="s">
        <v>83</v>
      </c>
      <c r="C147">
        <v>5791.94</v>
      </c>
      <c r="D147">
        <v>1137.9000000000001</v>
      </c>
      <c r="E147" t="s">
        <v>57</v>
      </c>
    </row>
    <row r="148" spans="1:5" x14ac:dyDescent="0.3">
      <c r="A148" s="9">
        <v>45434</v>
      </c>
      <c r="B148" t="s">
        <v>85</v>
      </c>
      <c r="C148">
        <v>4448.3599999999997</v>
      </c>
      <c r="D148">
        <v>1928.6</v>
      </c>
      <c r="E148" t="s">
        <v>59</v>
      </c>
    </row>
    <row r="149" spans="1:5" x14ac:dyDescent="0.3">
      <c r="A149" s="9">
        <v>45435</v>
      </c>
      <c r="B149" t="s">
        <v>85</v>
      </c>
      <c r="C149">
        <v>4178.41</v>
      </c>
      <c r="D149">
        <v>333.18</v>
      </c>
      <c r="E149" t="s">
        <v>60</v>
      </c>
    </row>
    <row r="150" spans="1:5" x14ac:dyDescent="0.3">
      <c r="A150" s="9">
        <v>45436</v>
      </c>
      <c r="B150" t="s">
        <v>84</v>
      </c>
      <c r="C150">
        <v>6565.51</v>
      </c>
      <c r="D150">
        <v>2387.2199999999998</v>
      </c>
      <c r="E150" t="s">
        <v>58</v>
      </c>
    </row>
    <row r="151" spans="1:5" x14ac:dyDescent="0.3">
      <c r="A151" s="9">
        <v>45437</v>
      </c>
      <c r="B151" t="s">
        <v>83</v>
      </c>
      <c r="C151">
        <v>5343.47</v>
      </c>
      <c r="D151">
        <v>891.12</v>
      </c>
      <c r="E151" t="s">
        <v>60</v>
      </c>
    </row>
    <row r="152" spans="1:5" x14ac:dyDescent="0.3">
      <c r="A152" s="9">
        <v>45438</v>
      </c>
      <c r="B152" t="s">
        <v>83</v>
      </c>
      <c r="C152">
        <v>2698.9</v>
      </c>
      <c r="D152">
        <v>-486.47</v>
      </c>
      <c r="E152" t="s">
        <v>58</v>
      </c>
    </row>
    <row r="153" spans="1:5" x14ac:dyDescent="0.3">
      <c r="A153" s="9">
        <v>45439</v>
      </c>
      <c r="B153" t="s">
        <v>83</v>
      </c>
      <c r="C153">
        <v>5544.6</v>
      </c>
      <c r="D153">
        <v>607.23</v>
      </c>
      <c r="E153" t="s">
        <v>58</v>
      </c>
    </row>
    <row r="154" spans="1:5" x14ac:dyDescent="0.3">
      <c r="A154" s="9">
        <v>45440</v>
      </c>
      <c r="B154" t="s">
        <v>84</v>
      </c>
      <c r="C154">
        <v>6716.56</v>
      </c>
      <c r="D154">
        <v>1465.22</v>
      </c>
      <c r="E154" t="s">
        <v>57</v>
      </c>
    </row>
    <row r="155" spans="1:5" x14ac:dyDescent="0.3">
      <c r="A155" s="9">
        <v>45441</v>
      </c>
      <c r="B155" t="s">
        <v>84</v>
      </c>
      <c r="C155">
        <v>6286.8</v>
      </c>
      <c r="D155">
        <v>1799.66</v>
      </c>
      <c r="E155" t="s">
        <v>59</v>
      </c>
    </row>
    <row r="156" spans="1:5" x14ac:dyDescent="0.3">
      <c r="A156" s="9">
        <v>45442</v>
      </c>
      <c r="B156" t="s">
        <v>85</v>
      </c>
      <c r="C156">
        <v>4059.71</v>
      </c>
      <c r="D156">
        <v>1159.05</v>
      </c>
      <c r="E156" t="s">
        <v>60</v>
      </c>
    </row>
    <row r="157" spans="1:5" x14ac:dyDescent="0.3">
      <c r="A157" s="9">
        <v>45443</v>
      </c>
      <c r="B157" t="s">
        <v>84</v>
      </c>
      <c r="C157">
        <v>2986.99</v>
      </c>
      <c r="D157">
        <v>1583.8</v>
      </c>
      <c r="E157" t="s">
        <v>57</v>
      </c>
    </row>
    <row r="158" spans="1:5" x14ac:dyDescent="0.3">
      <c r="A158" s="9">
        <v>45444</v>
      </c>
      <c r="B158" t="s">
        <v>83</v>
      </c>
      <c r="C158">
        <v>4511.04</v>
      </c>
      <c r="D158">
        <v>211.11</v>
      </c>
      <c r="E158" t="s">
        <v>60</v>
      </c>
    </row>
    <row r="159" spans="1:5" x14ac:dyDescent="0.3">
      <c r="A159" s="9">
        <v>45445</v>
      </c>
      <c r="B159" t="s">
        <v>83</v>
      </c>
      <c r="C159">
        <v>9880.98</v>
      </c>
      <c r="D159">
        <v>459.87</v>
      </c>
      <c r="E159" t="s">
        <v>58</v>
      </c>
    </row>
    <row r="160" spans="1:5" x14ac:dyDescent="0.3">
      <c r="A160" s="9">
        <v>45446</v>
      </c>
      <c r="B160" t="s">
        <v>84</v>
      </c>
      <c r="C160">
        <v>2682.5</v>
      </c>
      <c r="D160">
        <v>-39.729999999999997</v>
      </c>
      <c r="E160" t="s">
        <v>59</v>
      </c>
    </row>
    <row r="161" spans="1:5" x14ac:dyDescent="0.3">
      <c r="A161" s="9">
        <v>45447</v>
      </c>
      <c r="B161" t="s">
        <v>83</v>
      </c>
      <c r="C161">
        <v>3735.9</v>
      </c>
      <c r="D161">
        <v>497.47</v>
      </c>
      <c r="E161" t="s">
        <v>60</v>
      </c>
    </row>
    <row r="162" spans="1:5" x14ac:dyDescent="0.3">
      <c r="A162" s="9">
        <v>45448</v>
      </c>
      <c r="B162" t="s">
        <v>83</v>
      </c>
      <c r="C162">
        <v>5588.06</v>
      </c>
      <c r="D162">
        <v>1180.96</v>
      </c>
      <c r="E162" t="s">
        <v>60</v>
      </c>
    </row>
    <row r="163" spans="1:5" x14ac:dyDescent="0.3">
      <c r="A163" s="9">
        <v>45449</v>
      </c>
      <c r="B163" t="s">
        <v>84</v>
      </c>
      <c r="C163">
        <v>4813.21</v>
      </c>
      <c r="D163">
        <v>906.33</v>
      </c>
      <c r="E163" t="s">
        <v>58</v>
      </c>
    </row>
    <row r="164" spans="1:5" x14ac:dyDescent="0.3">
      <c r="A164" s="9">
        <v>45450</v>
      </c>
      <c r="B164" t="s">
        <v>84</v>
      </c>
      <c r="C164">
        <v>4699.6899999999996</v>
      </c>
      <c r="D164">
        <v>1233.92</v>
      </c>
      <c r="E164" t="s">
        <v>60</v>
      </c>
    </row>
    <row r="165" spans="1:5" x14ac:dyDescent="0.3">
      <c r="A165" s="9">
        <v>45451</v>
      </c>
      <c r="B165" t="s">
        <v>83</v>
      </c>
      <c r="C165">
        <v>8037.08</v>
      </c>
      <c r="D165">
        <v>331.74</v>
      </c>
      <c r="E165" t="s">
        <v>60</v>
      </c>
    </row>
    <row r="166" spans="1:5" x14ac:dyDescent="0.3">
      <c r="A166" s="9">
        <v>45452</v>
      </c>
      <c r="B166" t="s">
        <v>83</v>
      </c>
      <c r="C166">
        <v>3720.11</v>
      </c>
      <c r="D166">
        <v>362.24</v>
      </c>
      <c r="E166" t="s">
        <v>58</v>
      </c>
    </row>
    <row r="167" spans="1:5" x14ac:dyDescent="0.3">
      <c r="A167" s="9">
        <v>45453</v>
      </c>
      <c r="B167" t="s">
        <v>83</v>
      </c>
      <c r="C167">
        <v>4978.58</v>
      </c>
      <c r="D167">
        <v>902.31</v>
      </c>
      <c r="E167" t="s">
        <v>57</v>
      </c>
    </row>
    <row r="168" spans="1:5" x14ac:dyDescent="0.3">
      <c r="A168" s="9">
        <v>45454</v>
      </c>
      <c r="B168" t="s">
        <v>85</v>
      </c>
      <c r="C168">
        <v>5302.86</v>
      </c>
      <c r="D168">
        <v>498.68</v>
      </c>
      <c r="E168" t="s">
        <v>58</v>
      </c>
    </row>
    <row r="169" spans="1:5" x14ac:dyDescent="0.3">
      <c r="A169" s="9">
        <v>45455</v>
      </c>
      <c r="B169" t="s">
        <v>85</v>
      </c>
      <c r="C169">
        <v>3792.89</v>
      </c>
      <c r="D169">
        <v>1450.92</v>
      </c>
      <c r="E169" t="s">
        <v>57</v>
      </c>
    </row>
    <row r="170" spans="1:5" x14ac:dyDescent="0.3">
      <c r="A170" s="9">
        <v>45456</v>
      </c>
      <c r="B170" t="s">
        <v>85</v>
      </c>
      <c r="C170">
        <v>2839.02</v>
      </c>
      <c r="D170">
        <v>486.29</v>
      </c>
      <c r="E170" t="s">
        <v>59</v>
      </c>
    </row>
    <row r="171" spans="1:5" x14ac:dyDescent="0.3">
      <c r="A171" s="9">
        <v>45457</v>
      </c>
      <c r="B171" t="s">
        <v>84</v>
      </c>
      <c r="C171">
        <v>5403.98</v>
      </c>
      <c r="D171">
        <v>552.30999999999995</v>
      </c>
      <c r="E171" t="s">
        <v>57</v>
      </c>
    </row>
    <row r="172" spans="1:5" x14ac:dyDescent="0.3">
      <c r="A172" s="9">
        <v>45458</v>
      </c>
      <c r="B172" t="s">
        <v>85</v>
      </c>
      <c r="C172">
        <v>7720.5</v>
      </c>
      <c r="D172">
        <v>1009.42</v>
      </c>
      <c r="E172" t="s">
        <v>57</v>
      </c>
    </row>
    <row r="173" spans="1:5" x14ac:dyDescent="0.3">
      <c r="A173" s="9">
        <v>45459</v>
      </c>
      <c r="B173" t="s">
        <v>84</v>
      </c>
      <c r="C173">
        <v>5606.87</v>
      </c>
      <c r="D173">
        <v>605.36</v>
      </c>
      <c r="E173" t="s">
        <v>59</v>
      </c>
    </row>
    <row r="174" spans="1:5" x14ac:dyDescent="0.3">
      <c r="A174" s="9">
        <v>45460</v>
      </c>
      <c r="B174" t="s">
        <v>84</v>
      </c>
      <c r="C174">
        <v>5135.1099999999997</v>
      </c>
      <c r="D174">
        <v>182.53</v>
      </c>
      <c r="E174" t="s">
        <v>57</v>
      </c>
    </row>
    <row r="175" spans="1:5" x14ac:dyDescent="0.3">
      <c r="A175" s="9">
        <v>45461</v>
      </c>
      <c r="B175" t="s">
        <v>85</v>
      </c>
      <c r="C175">
        <v>5124.1000000000004</v>
      </c>
      <c r="D175">
        <v>250.32</v>
      </c>
      <c r="E175" t="s">
        <v>58</v>
      </c>
    </row>
    <row r="176" spans="1:5" x14ac:dyDescent="0.3">
      <c r="A176" s="9">
        <v>45462</v>
      </c>
      <c r="B176" t="s">
        <v>85</v>
      </c>
      <c r="C176">
        <v>4612.37</v>
      </c>
      <c r="D176">
        <v>1068.8800000000001</v>
      </c>
      <c r="E176" t="s">
        <v>57</v>
      </c>
    </row>
    <row r="177" spans="1:5" x14ac:dyDescent="0.3">
      <c r="A177" s="9">
        <v>45463</v>
      </c>
      <c r="B177" t="s">
        <v>85</v>
      </c>
      <c r="C177">
        <v>6775.22</v>
      </c>
      <c r="D177">
        <v>120.64</v>
      </c>
      <c r="E177" t="s">
        <v>59</v>
      </c>
    </row>
    <row r="178" spans="1:5" x14ac:dyDescent="0.3">
      <c r="A178" s="9">
        <v>45464</v>
      </c>
      <c r="B178" t="s">
        <v>83</v>
      </c>
      <c r="C178">
        <v>4241.84</v>
      </c>
      <c r="D178">
        <v>1498.58</v>
      </c>
      <c r="E178" t="s">
        <v>58</v>
      </c>
    </row>
    <row r="179" spans="1:5" x14ac:dyDescent="0.3">
      <c r="A179" s="9">
        <v>45465</v>
      </c>
      <c r="B179" t="s">
        <v>85</v>
      </c>
      <c r="C179">
        <v>2964.82</v>
      </c>
      <c r="D179">
        <v>454.8</v>
      </c>
      <c r="E179" t="s">
        <v>59</v>
      </c>
    </row>
    <row r="180" spans="1:5" x14ac:dyDescent="0.3">
      <c r="A180" s="9">
        <v>45466</v>
      </c>
      <c r="B180" t="s">
        <v>83</v>
      </c>
      <c r="C180">
        <v>2627.52</v>
      </c>
      <c r="D180">
        <v>1108.1099999999999</v>
      </c>
      <c r="E180" t="s">
        <v>59</v>
      </c>
    </row>
    <row r="181" spans="1:5" x14ac:dyDescent="0.3">
      <c r="A181" s="9">
        <v>45467</v>
      </c>
      <c r="B181" t="s">
        <v>84</v>
      </c>
      <c r="C181">
        <v>5118.51</v>
      </c>
      <c r="D181">
        <v>484.79</v>
      </c>
      <c r="E181" t="s">
        <v>60</v>
      </c>
    </row>
    <row r="182" spans="1:5" x14ac:dyDescent="0.3">
      <c r="A182" s="9">
        <v>45468</v>
      </c>
      <c r="B182" t="s">
        <v>83</v>
      </c>
      <c r="C182">
        <v>6591.04</v>
      </c>
      <c r="D182">
        <v>342.38</v>
      </c>
      <c r="E182" t="s">
        <v>60</v>
      </c>
    </row>
    <row r="183" spans="1:5" x14ac:dyDescent="0.3">
      <c r="A183" s="9">
        <v>45469</v>
      </c>
      <c r="B183" t="s">
        <v>85</v>
      </c>
      <c r="C183">
        <v>5356.23</v>
      </c>
      <c r="D183">
        <v>923.05</v>
      </c>
      <c r="E183" t="s">
        <v>59</v>
      </c>
    </row>
    <row r="184" spans="1:5" x14ac:dyDescent="0.3">
      <c r="A184" s="9">
        <v>45470</v>
      </c>
      <c r="B184" t="s">
        <v>84</v>
      </c>
      <c r="C184">
        <v>4523.95</v>
      </c>
      <c r="D184">
        <v>1325.89</v>
      </c>
      <c r="E184" t="s">
        <v>59</v>
      </c>
    </row>
    <row r="185" spans="1:5" x14ac:dyDescent="0.3">
      <c r="A185" s="9">
        <v>45471</v>
      </c>
      <c r="B185" t="s">
        <v>84</v>
      </c>
      <c r="C185">
        <v>5687.66</v>
      </c>
      <c r="D185">
        <v>676.32</v>
      </c>
      <c r="E185" t="s">
        <v>59</v>
      </c>
    </row>
    <row r="186" spans="1:5" x14ac:dyDescent="0.3">
      <c r="A186" s="9">
        <v>45472</v>
      </c>
      <c r="B186" t="s">
        <v>84</v>
      </c>
      <c r="C186">
        <v>5279.32</v>
      </c>
      <c r="D186">
        <v>767.26</v>
      </c>
      <c r="E186" t="s">
        <v>60</v>
      </c>
    </row>
    <row r="187" spans="1:5" x14ac:dyDescent="0.3">
      <c r="A187" s="9">
        <v>45473</v>
      </c>
      <c r="B187" t="s">
        <v>83</v>
      </c>
      <c r="C187">
        <v>6239.29</v>
      </c>
      <c r="D187">
        <v>1203.71</v>
      </c>
      <c r="E187" t="s">
        <v>60</v>
      </c>
    </row>
    <row r="188" spans="1:5" x14ac:dyDescent="0.3">
      <c r="A188" s="9">
        <v>45474</v>
      </c>
      <c r="B188" t="s">
        <v>85</v>
      </c>
      <c r="C188">
        <v>6989.76</v>
      </c>
      <c r="D188">
        <v>1220.26</v>
      </c>
      <c r="E188" t="s">
        <v>57</v>
      </c>
    </row>
    <row r="189" spans="1:5" x14ac:dyDescent="0.3">
      <c r="A189" s="9">
        <v>45475</v>
      </c>
      <c r="B189" t="s">
        <v>84</v>
      </c>
      <c r="C189">
        <v>3568.41</v>
      </c>
      <c r="D189">
        <v>780.75</v>
      </c>
      <c r="E189" t="s">
        <v>57</v>
      </c>
    </row>
    <row r="190" spans="1:5" x14ac:dyDescent="0.3">
      <c r="A190" s="9">
        <v>45476</v>
      </c>
      <c r="B190" t="s">
        <v>84</v>
      </c>
      <c r="C190">
        <v>1490.61</v>
      </c>
      <c r="D190">
        <v>578.26</v>
      </c>
      <c r="E190" t="s">
        <v>59</v>
      </c>
    </row>
    <row r="191" spans="1:5" x14ac:dyDescent="0.3">
      <c r="A191" s="9">
        <v>45477</v>
      </c>
      <c r="B191" t="s">
        <v>84</v>
      </c>
      <c r="C191">
        <v>4472.6899999999996</v>
      </c>
      <c r="D191">
        <v>841.33</v>
      </c>
      <c r="E191" t="s">
        <v>58</v>
      </c>
    </row>
    <row r="192" spans="1:5" x14ac:dyDescent="0.3">
      <c r="A192" s="9">
        <v>45478</v>
      </c>
      <c r="B192" t="s">
        <v>83</v>
      </c>
      <c r="C192">
        <v>3470.99</v>
      </c>
      <c r="D192">
        <v>704.54</v>
      </c>
      <c r="E192" t="s">
        <v>58</v>
      </c>
    </row>
    <row r="193" spans="1:5" x14ac:dyDescent="0.3">
      <c r="A193" s="9">
        <v>45479</v>
      </c>
      <c r="B193" t="s">
        <v>83</v>
      </c>
      <c r="C193">
        <v>6247.94</v>
      </c>
      <c r="D193">
        <v>956.49</v>
      </c>
      <c r="E193" t="s">
        <v>60</v>
      </c>
    </row>
    <row r="194" spans="1:5" x14ac:dyDescent="0.3">
      <c r="A194" s="9">
        <v>45480</v>
      </c>
      <c r="B194" t="s">
        <v>85</v>
      </c>
      <c r="C194">
        <v>3913.5</v>
      </c>
      <c r="D194">
        <v>202.86</v>
      </c>
      <c r="E194" t="s">
        <v>60</v>
      </c>
    </row>
    <row r="195" spans="1:5" x14ac:dyDescent="0.3">
      <c r="A195" s="9">
        <v>45481</v>
      </c>
      <c r="B195" t="s">
        <v>83</v>
      </c>
      <c r="C195">
        <v>2186.33</v>
      </c>
      <c r="D195">
        <v>938.59</v>
      </c>
      <c r="E195" t="s">
        <v>60</v>
      </c>
    </row>
    <row r="196" spans="1:5" x14ac:dyDescent="0.3">
      <c r="A196" s="9">
        <v>45482</v>
      </c>
      <c r="B196" t="s">
        <v>84</v>
      </c>
      <c r="C196">
        <v>4138.7</v>
      </c>
      <c r="D196">
        <v>440.85</v>
      </c>
      <c r="E196" t="s">
        <v>59</v>
      </c>
    </row>
    <row r="197" spans="1:5" x14ac:dyDescent="0.3">
      <c r="A197" s="9">
        <v>45483</v>
      </c>
      <c r="B197" t="s">
        <v>85</v>
      </c>
      <c r="C197">
        <v>2762.04</v>
      </c>
      <c r="D197">
        <v>1252.94</v>
      </c>
      <c r="E197" t="s">
        <v>58</v>
      </c>
    </row>
    <row r="198" spans="1:5" x14ac:dyDescent="0.3">
      <c r="A198" s="9">
        <v>45484</v>
      </c>
      <c r="B198" t="s">
        <v>84</v>
      </c>
      <c r="C198">
        <v>7385.24</v>
      </c>
      <c r="D198">
        <v>463.77</v>
      </c>
      <c r="E198" t="s">
        <v>57</v>
      </c>
    </row>
    <row r="199" spans="1:5" x14ac:dyDescent="0.3">
      <c r="A199" s="9">
        <v>45485</v>
      </c>
      <c r="B199" t="s">
        <v>84</v>
      </c>
      <c r="C199">
        <v>5707.46</v>
      </c>
      <c r="D199">
        <v>472.45</v>
      </c>
      <c r="E199" t="s">
        <v>59</v>
      </c>
    </row>
    <row r="200" spans="1:5" x14ac:dyDescent="0.3">
      <c r="A200" s="9">
        <v>45486</v>
      </c>
      <c r="B200" t="s">
        <v>83</v>
      </c>
      <c r="C200">
        <v>5971.34</v>
      </c>
      <c r="D200">
        <v>1022.7</v>
      </c>
      <c r="E200" t="s">
        <v>57</v>
      </c>
    </row>
    <row r="201" spans="1:5" x14ac:dyDescent="0.3">
      <c r="A201" s="9">
        <v>45487</v>
      </c>
      <c r="B201" t="s">
        <v>85</v>
      </c>
      <c r="C201">
        <v>5804.04</v>
      </c>
      <c r="D201">
        <v>807.11</v>
      </c>
      <c r="E201" t="s">
        <v>57</v>
      </c>
    </row>
    <row r="202" spans="1:5" x14ac:dyDescent="0.3">
      <c r="A202" s="9">
        <v>45488</v>
      </c>
      <c r="B202" t="s">
        <v>83</v>
      </c>
      <c r="C202">
        <v>6260.26</v>
      </c>
      <c r="D202">
        <v>1938.33</v>
      </c>
      <c r="E202" t="s">
        <v>59</v>
      </c>
    </row>
    <row r="203" spans="1:5" x14ac:dyDescent="0.3">
      <c r="A203" s="9">
        <v>45489</v>
      </c>
      <c r="B203" t="s">
        <v>83</v>
      </c>
      <c r="C203">
        <v>6700.01</v>
      </c>
      <c r="D203">
        <v>-14.65</v>
      </c>
      <c r="E203" t="s">
        <v>57</v>
      </c>
    </row>
    <row r="204" spans="1:5" x14ac:dyDescent="0.3">
      <c r="A204" s="9">
        <v>45490</v>
      </c>
      <c r="B204" t="s">
        <v>85</v>
      </c>
      <c r="C204">
        <v>4190.38</v>
      </c>
      <c r="D204">
        <v>854.93</v>
      </c>
      <c r="E204" t="s">
        <v>58</v>
      </c>
    </row>
    <row r="205" spans="1:5" x14ac:dyDescent="0.3">
      <c r="A205" s="9">
        <v>45491</v>
      </c>
      <c r="B205" t="s">
        <v>84</v>
      </c>
      <c r="C205">
        <v>2870.06</v>
      </c>
      <c r="D205">
        <v>1364.82</v>
      </c>
      <c r="E205" t="s">
        <v>57</v>
      </c>
    </row>
    <row r="206" spans="1:5" x14ac:dyDescent="0.3">
      <c r="A206" s="9">
        <v>45492</v>
      </c>
      <c r="B206" t="s">
        <v>84</v>
      </c>
      <c r="C206">
        <v>3729.6</v>
      </c>
      <c r="D206">
        <v>510.84</v>
      </c>
      <c r="E206" t="s">
        <v>58</v>
      </c>
    </row>
    <row r="207" spans="1:5" x14ac:dyDescent="0.3">
      <c r="A207" s="9">
        <v>45493</v>
      </c>
      <c r="B207" t="s">
        <v>85</v>
      </c>
      <c r="C207">
        <v>4932.13</v>
      </c>
      <c r="D207">
        <v>344.72</v>
      </c>
      <c r="E207" t="s">
        <v>58</v>
      </c>
    </row>
    <row r="208" spans="1:5" x14ac:dyDescent="0.3">
      <c r="A208" s="9">
        <v>45494</v>
      </c>
      <c r="B208" t="s">
        <v>84</v>
      </c>
      <c r="C208">
        <v>1153.49</v>
      </c>
      <c r="D208">
        <v>364.57</v>
      </c>
      <c r="E208" t="s">
        <v>58</v>
      </c>
    </row>
    <row r="209" spans="1:5" x14ac:dyDescent="0.3">
      <c r="A209" s="9">
        <v>45495</v>
      </c>
      <c r="B209" t="s">
        <v>85</v>
      </c>
      <c r="C209">
        <v>6714.09</v>
      </c>
      <c r="D209">
        <v>-5.98</v>
      </c>
      <c r="E209" t="s">
        <v>60</v>
      </c>
    </row>
    <row r="210" spans="1:5" x14ac:dyDescent="0.3">
      <c r="A210" s="9">
        <v>45496</v>
      </c>
      <c r="B210" t="s">
        <v>85</v>
      </c>
      <c r="C210">
        <v>2154.88</v>
      </c>
      <c r="D210">
        <v>1474.85</v>
      </c>
      <c r="E210" t="s">
        <v>57</v>
      </c>
    </row>
    <row r="211" spans="1:5" x14ac:dyDescent="0.3">
      <c r="A211" s="9">
        <v>45497</v>
      </c>
      <c r="B211" t="s">
        <v>83</v>
      </c>
      <c r="C211">
        <v>5898.64</v>
      </c>
      <c r="D211">
        <v>635.19000000000005</v>
      </c>
      <c r="E211" t="s">
        <v>59</v>
      </c>
    </row>
    <row r="212" spans="1:5" x14ac:dyDescent="0.3">
      <c r="A212" s="9">
        <v>45498</v>
      </c>
      <c r="B212" t="s">
        <v>85</v>
      </c>
      <c r="C212">
        <v>4747.8900000000003</v>
      </c>
      <c r="D212">
        <v>575.99</v>
      </c>
      <c r="E212" t="s">
        <v>59</v>
      </c>
    </row>
    <row r="213" spans="1:5" x14ac:dyDescent="0.3">
      <c r="A213" s="9">
        <v>45499</v>
      </c>
      <c r="B213" t="s">
        <v>83</v>
      </c>
      <c r="C213">
        <v>5427.76</v>
      </c>
      <c r="D213">
        <v>-262.05</v>
      </c>
      <c r="E213" t="s">
        <v>57</v>
      </c>
    </row>
    <row r="214" spans="1:5" x14ac:dyDescent="0.3">
      <c r="A214" s="9">
        <v>45500</v>
      </c>
      <c r="B214" t="s">
        <v>84</v>
      </c>
      <c r="C214">
        <v>4292.12</v>
      </c>
      <c r="D214">
        <v>83.15</v>
      </c>
      <c r="E214" t="s">
        <v>60</v>
      </c>
    </row>
    <row r="215" spans="1:5" x14ac:dyDescent="0.3">
      <c r="A215" s="9">
        <v>45501</v>
      </c>
      <c r="B215" t="s">
        <v>84</v>
      </c>
      <c r="C215">
        <v>5325.81</v>
      </c>
      <c r="D215">
        <v>1532.69</v>
      </c>
      <c r="E215" t="s">
        <v>60</v>
      </c>
    </row>
    <row r="216" spans="1:5" x14ac:dyDescent="0.3">
      <c r="A216" s="9">
        <v>45502</v>
      </c>
      <c r="B216" t="s">
        <v>84</v>
      </c>
      <c r="C216">
        <v>4292.18</v>
      </c>
      <c r="D216">
        <v>951.55</v>
      </c>
      <c r="E216" t="s">
        <v>58</v>
      </c>
    </row>
    <row r="217" spans="1:5" x14ac:dyDescent="0.3">
      <c r="A217" s="9">
        <v>45503</v>
      </c>
      <c r="B217" t="s">
        <v>84</v>
      </c>
      <c r="C217">
        <v>4165.7299999999996</v>
      </c>
      <c r="D217">
        <v>1383.25</v>
      </c>
      <c r="E217" t="s">
        <v>57</v>
      </c>
    </row>
    <row r="218" spans="1:5" x14ac:dyDescent="0.3">
      <c r="A218" s="9">
        <v>45504</v>
      </c>
      <c r="B218" t="s">
        <v>83</v>
      </c>
      <c r="C218">
        <v>3654.15</v>
      </c>
      <c r="D218">
        <v>1320</v>
      </c>
      <c r="E218" t="s">
        <v>57</v>
      </c>
    </row>
    <row r="219" spans="1:5" x14ac:dyDescent="0.3">
      <c r="A219" s="9">
        <v>45505</v>
      </c>
      <c r="B219" t="s">
        <v>84</v>
      </c>
      <c r="C219">
        <v>7288.74</v>
      </c>
      <c r="D219">
        <v>299.69</v>
      </c>
      <c r="E219" t="s">
        <v>59</v>
      </c>
    </row>
    <row r="220" spans="1:5" x14ac:dyDescent="0.3">
      <c r="A220" s="9">
        <v>45506</v>
      </c>
      <c r="B220" t="s">
        <v>85</v>
      </c>
      <c r="C220">
        <v>5550.36</v>
      </c>
      <c r="D220">
        <v>2014.92</v>
      </c>
      <c r="E220" t="s">
        <v>57</v>
      </c>
    </row>
    <row r="221" spans="1:5" x14ac:dyDescent="0.3">
      <c r="A221" s="9">
        <v>45507</v>
      </c>
      <c r="B221" t="s">
        <v>85</v>
      </c>
      <c r="C221">
        <v>5314.25</v>
      </c>
      <c r="D221">
        <v>1774.87</v>
      </c>
      <c r="E221" t="s">
        <v>60</v>
      </c>
    </row>
    <row r="222" spans="1:5" x14ac:dyDescent="0.3">
      <c r="A222" s="9">
        <v>45508</v>
      </c>
      <c r="B222" t="s">
        <v>85</v>
      </c>
      <c r="C222">
        <v>3686.66</v>
      </c>
      <c r="D222">
        <v>518.12</v>
      </c>
      <c r="E222" t="s">
        <v>57</v>
      </c>
    </row>
    <row r="223" spans="1:5" x14ac:dyDescent="0.3">
      <c r="A223" s="9">
        <v>45509</v>
      </c>
      <c r="B223" t="s">
        <v>83</v>
      </c>
      <c r="C223">
        <v>4647.7299999999996</v>
      </c>
      <c r="D223">
        <v>-984.1</v>
      </c>
      <c r="E223" t="s">
        <v>59</v>
      </c>
    </row>
    <row r="224" spans="1:5" x14ac:dyDescent="0.3">
      <c r="A224" s="9">
        <v>45510</v>
      </c>
      <c r="B224" t="s">
        <v>84</v>
      </c>
      <c r="C224">
        <v>3519.16</v>
      </c>
      <c r="D224">
        <v>621.73</v>
      </c>
      <c r="E224" t="s">
        <v>58</v>
      </c>
    </row>
    <row r="225" spans="1:5" x14ac:dyDescent="0.3">
      <c r="A225" s="9">
        <v>45511</v>
      </c>
      <c r="B225" t="s">
        <v>84</v>
      </c>
      <c r="C225">
        <v>4263.25</v>
      </c>
      <c r="D225">
        <v>919.15</v>
      </c>
      <c r="E225" t="s">
        <v>59</v>
      </c>
    </row>
    <row r="226" spans="1:5" x14ac:dyDescent="0.3">
      <c r="A226" s="9">
        <v>45512</v>
      </c>
      <c r="B226" t="s">
        <v>84</v>
      </c>
      <c r="C226">
        <v>3186.32</v>
      </c>
      <c r="D226">
        <v>516.14</v>
      </c>
      <c r="E226" t="s">
        <v>59</v>
      </c>
    </row>
    <row r="227" spans="1:5" x14ac:dyDescent="0.3">
      <c r="A227" s="9">
        <v>45513</v>
      </c>
      <c r="B227" t="s">
        <v>83</v>
      </c>
      <c r="C227">
        <v>7383.72</v>
      </c>
      <c r="D227">
        <v>689.24</v>
      </c>
      <c r="E227" t="s">
        <v>58</v>
      </c>
    </row>
    <row r="228" spans="1:5" x14ac:dyDescent="0.3">
      <c r="A228" s="9">
        <v>45514</v>
      </c>
      <c r="B228" t="s">
        <v>85</v>
      </c>
      <c r="C228">
        <v>3864.64</v>
      </c>
      <c r="D228">
        <v>385.67</v>
      </c>
      <c r="E228" t="s">
        <v>59</v>
      </c>
    </row>
    <row r="229" spans="1:5" x14ac:dyDescent="0.3">
      <c r="A229" s="9">
        <v>45515</v>
      </c>
      <c r="B229" t="s">
        <v>85</v>
      </c>
      <c r="C229">
        <v>3687.38</v>
      </c>
      <c r="D229">
        <v>1260.82</v>
      </c>
      <c r="E229" t="s">
        <v>59</v>
      </c>
    </row>
    <row r="230" spans="1:5" x14ac:dyDescent="0.3">
      <c r="A230" s="9">
        <v>45516</v>
      </c>
      <c r="B230" t="s">
        <v>84</v>
      </c>
      <c r="C230">
        <v>3011.58</v>
      </c>
      <c r="D230">
        <v>831.82</v>
      </c>
      <c r="E230" t="s">
        <v>57</v>
      </c>
    </row>
    <row r="231" spans="1:5" x14ac:dyDescent="0.3">
      <c r="A231" s="9">
        <v>45517</v>
      </c>
      <c r="B231" t="s">
        <v>85</v>
      </c>
      <c r="C231">
        <v>3843.19</v>
      </c>
      <c r="D231">
        <v>1275.76</v>
      </c>
      <c r="E231" t="s">
        <v>57</v>
      </c>
    </row>
    <row r="232" spans="1:5" x14ac:dyDescent="0.3">
      <c r="A232" s="9">
        <v>45518</v>
      </c>
      <c r="B232" t="s">
        <v>85</v>
      </c>
      <c r="C232">
        <v>4257.66</v>
      </c>
      <c r="D232">
        <v>1411.1</v>
      </c>
      <c r="E232" t="s">
        <v>58</v>
      </c>
    </row>
    <row r="233" spans="1:5" x14ac:dyDescent="0.3">
      <c r="A233" s="9">
        <v>45519</v>
      </c>
      <c r="B233" t="s">
        <v>83</v>
      </c>
      <c r="C233">
        <v>4925.78</v>
      </c>
      <c r="D233">
        <v>-287.16000000000003</v>
      </c>
      <c r="E233" t="s">
        <v>57</v>
      </c>
    </row>
    <row r="234" spans="1:5" x14ac:dyDescent="0.3">
      <c r="A234" s="9">
        <v>45520</v>
      </c>
      <c r="B234" t="s">
        <v>83</v>
      </c>
      <c r="C234">
        <v>4032.02</v>
      </c>
      <c r="D234">
        <v>414.74</v>
      </c>
      <c r="E234" t="s">
        <v>57</v>
      </c>
    </row>
    <row r="235" spans="1:5" x14ac:dyDescent="0.3">
      <c r="A235" s="9">
        <v>45521</v>
      </c>
      <c r="B235" t="s">
        <v>83</v>
      </c>
      <c r="C235">
        <v>2599.08</v>
      </c>
      <c r="D235">
        <v>487.99</v>
      </c>
      <c r="E235" t="s">
        <v>59</v>
      </c>
    </row>
    <row r="236" spans="1:5" x14ac:dyDescent="0.3">
      <c r="A236" s="9">
        <v>45522</v>
      </c>
      <c r="B236" t="s">
        <v>83</v>
      </c>
      <c r="C236">
        <v>2728.14</v>
      </c>
      <c r="D236">
        <v>2085.69</v>
      </c>
      <c r="E236" t="s">
        <v>60</v>
      </c>
    </row>
    <row r="237" spans="1:5" x14ac:dyDescent="0.3">
      <c r="A237" s="9">
        <v>45523</v>
      </c>
      <c r="B237" t="s">
        <v>84</v>
      </c>
      <c r="C237">
        <v>6019.49</v>
      </c>
      <c r="D237">
        <v>874.5</v>
      </c>
      <c r="E237" t="s">
        <v>57</v>
      </c>
    </row>
    <row r="238" spans="1:5" x14ac:dyDescent="0.3">
      <c r="A238" s="9">
        <v>45524</v>
      </c>
      <c r="B238" t="s">
        <v>83</v>
      </c>
      <c r="C238">
        <v>4815.82</v>
      </c>
      <c r="D238">
        <v>1206.28</v>
      </c>
      <c r="E238" t="s">
        <v>60</v>
      </c>
    </row>
    <row r="239" spans="1:5" x14ac:dyDescent="0.3">
      <c r="A239" s="9">
        <v>45525</v>
      </c>
      <c r="B239" t="s">
        <v>85</v>
      </c>
      <c r="C239">
        <v>5973.34</v>
      </c>
      <c r="D239">
        <v>-140.35</v>
      </c>
      <c r="E239" t="s">
        <v>57</v>
      </c>
    </row>
    <row r="240" spans="1:5" x14ac:dyDescent="0.3">
      <c r="A240" s="9">
        <v>45526</v>
      </c>
      <c r="B240" t="s">
        <v>84</v>
      </c>
      <c r="C240">
        <v>6170.41</v>
      </c>
      <c r="D240">
        <v>871.61</v>
      </c>
      <c r="E240" t="s">
        <v>57</v>
      </c>
    </row>
    <row r="241" spans="1:5" x14ac:dyDescent="0.3">
      <c r="A241" s="9">
        <v>45527</v>
      </c>
      <c r="B241" t="s">
        <v>85</v>
      </c>
      <c r="C241">
        <v>5226.62</v>
      </c>
      <c r="D241">
        <v>1289.1500000000001</v>
      </c>
      <c r="E241" t="s">
        <v>58</v>
      </c>
    </row>
    <row r="242" spans="1:5" x14ac:dyDescent="0.3">
      <c r="A242" s="9">
        <v>45528</v>
      </c>
      <c r="B242" t="s">
        <v>85</v>
      </c>
      <c r="C242">
        <v>3152.4</v>
      </c>
      <c r="D242">
        <v>1230.98</v>
      </c>
      <c r="E242" t="s">
        <v>58</v>
      </c>
    </row>
    <row r="243" spans="1:5" x14ac:dyDescent="0.3">
      <c r="A243" s="9">
        <v>45529</v>
      </c>
      <c r="B243" t="s">
        <v>85</v>
      </c>
      <c r="C243">
        <v>5284.38</v>
      </c>
      <c r="D243">
        <v>1111.7</v>
      </c>
      <c r="E243" t="s">
        <v>58</v>
      </c>
    </row>
    <row r="244" spans="1:5" x14ac:dyDescent="0.3">
      <c r="A244" s="9">
        <v>45530</v>
      </c>
      <c r="B244" t="s">
        <v>83</v>
      </c>
      <c r="C244">
        <v>7099.39</v>
      </c>
      <c r="D244">
        <v>806.5</v>
      </c>
      <c r="E244" t="s">
        <v>60</v>
      </c>
    </row>
    <row r="245" spans="1:5" x14ac:dyDescent="0.3">
      <c r="A245" s="9">
        <v>45531</v>
      </c>
      <c r="B245" t="s">
        <v>83</v>
      </c>
      <c r="C245">
        <v>4328.8599999999997</v>
      </c>
      <c r="D245">
        <v>830.78</v>
      </c>
      <c r="E245" t="s">
        <v>59</v>
      </c>
    </row>
    <row r="246" spans="1:5" x14ac:dyDescent="0.3">
      <c r="A246" s="9">
        <v>45532</v>
      </c>
      <c r="B246" t="s">
        <v>84</v>
      </c>
      <c r="C246">
        <v>5510.92</v>
      </c>
      <c r="D246">
        <v>-46.63</v>
      </c>
      <c r="E246" t="s">
        <v>57</v>
      </c>
    </row>
    <row r="247" spans="1:5" x14ac:dyDescent="0.3">
      <c r="A247" s="9">
        <v>45533</v>
      </c>
      <c r="B247" t="s">
        <v>84</v>
      </c>
      <c r="C247">
        <v>4979.33</v>
      </c>
      <c r="D247">
        <v>349.73</v>
      </c>
      <c r="E247" t="s">
        <v>57</v>
      </c>
    </row>
    <row r="248" spans="1:5" x14ac:dyDescent="0.3">
      <c r="A248" s="9">
        <v>45534</v>
      </c>
      <c r="B248" t="s">
        <v>83</v>
      </c>
      <c r="C248">
        <v>7058.57</v>
      </c>
      <c r="D248">
        <v>915.47</v>
      </c>
      <c r="E248" t="s">
        <v>57</v>
      </c>
    </row>
    <row r="249" spans="1:5" x14ac:dyDescent="0.3">
      <c r="A249" s="9">
        <v>45535</v>
      </c>
      <c r="B249" t="s">
        <v>85</v>
      </c>
      <c r="C249">
        <v>3983.32</v>
      </c>
      <c r="D249">
        <v>442.01</v>
      </c>
      <c r="E249" t="s">
        <v>60</v>
      </c>
    </row>
    <row r="250" spans="1:5" x14ac:dyDescent="0.3">
      <c r="A250" s="9">
        <v>45536</v>
      </c>
      <c r="B250" t="s">
        <v>84</v>
      </c>
      <c r="C250">
        <v>6730.3</v>
      </c>
      <c r="D250">
        <v>1144.42</v>
      </c>
      <c r="E250" t="s">
        <v>58</v>
      </c>
    </row>
    <row r="251" spans="1:5" x14ac:dyDescent="0.3">
      <c r="A251" s="9">
        <v>45537</v>
      </c>
      <c r="B251" t="s">
        <v>83</v>
      </c>
      <c r="C251">
        <v>4437.4799999999996</v>
      </c>
      <c r="D251">
        <v>1033.3900000000001</v>
      </c>
      <c r="E251" t="s">
        <v>59</v>
      </c>
    </row>
    <row r="252" spans="1:5" x14ac:dyDescent="0.3">
      <c r="A252" s="9">
        <v>45538</v>
      </c>
      <c r="B252" t="s">
        <v>83</v>
      </c>
      <c r="C252">
        <v>3958.78</v>
      </c>
      <c r="D252">
        <v>1483.69</v>
      </c>
      <c r="E252" t="s">
        <v>60</v>
      </c>
    </row>
    <row r="253" spans="1:5" x14ac:dyDescent="0.3">
      <c r="A253" s="9">
        <v>45539</v>
      </c>
      <c r="B253" t="s">
        <v>83</v>
      </c>
      <c r="C253">
        <v>5164.79</v>
      </c>
      <c r="D253">
        <v>1279.1300000000001</v>
      </c>
      <c r="E253" t="s">
        <v>58</v>
      </c>
    </row>
    <row r="254" spans="1:5" x14ac:dyDescent="0.3">
      <c r="A254" s="9">
        <v>45540</v>
      </c>
      <c r="B254" t="s">
        <v>85</v>
      </c>
      <c r="C254">
        <v>5513.69</v>
      </c>
      <c r="D254">
        <v>913.63</v>
      </c>
      <c r="E254" t="s">
        <v>60</v>
      </c>
    </row>
    <row r="255" spans="1:5" x14ac:dyDescent="0.3">
      <c r="A255" s="9">
        <v>45541</v>
      </c>
      <c r="B255" t="s">
        <v>83</v>
      </c>
      <c r="C255">
        <v>7867.29</v>
      </c>
      <c r="D255">
        <v>1173.99</v>
      </c>
      <c r="E255" t="s">
        <v>59</v>
      </c>
    </row>
    <row r="256" spans="1:5" x14ac:dyDescent="0.3">
      <c r="A256" s="9">
        <v>45542</v>
      </c>
      <c r="B256" t="s">
        <v>83</v>
      </c>
      <c r="C256">
        <v>5479.31</v>
      </c>
      <c r="D256">
        <v>1302.55</v>
      </c>
      <c r="E256" t="s">
        <v>58</v>
      </c>
    </row>
    <row r="257" spans="1:5" x14ac:dyDescent="0.3">
      <c r="A257" s="9">
        <v>45543</v>
      </c>
      <c r="B257" t="s">
        <v>83</v>
      </c>
      <c r="C257">
        <v>5289.92</v>
      </c>
      <c r="D257">
        <v>546.28</v>
      </c>
      <c r="E257" t="s">
        <v>60</v>
      </c>
    </row>
    <row r="258" spans="1:5" x14ac:dyDescent="0.3">
      <c r="A258" s="9">
        <v>45544</v>
      </c>
      <c r="B258" t="s">
        <v>83</v>
      </c>
      <c r="C258">
        <v>7394.21</v>
      </c>
      <c r="D258">
        <v>635.33000000000004</v>
      </c>
      <c r="E258" t="s">
        <v>59</v>
      </c>
    </row>
    <row r="259" spans="1:5" x14ac:dyDescent="0.3">
      <c r="A259" s="9">
        <v>45545</v>
      </c>
      <c r="B259" t="s">
        <v>84</v>
      </c>
      <c r="C259">
        <v>5901.58</v>
      </c>
      <c r="D259">
        <v>751.59</v>
      </c>
      <c r="E259" t="s">
        <v>57</v>
      </c>
    </row>
    <row r="260" spans="1:5" x14ac:dyDescent="0.3">
      <c r="A260" s="9">
        <v>45546</v>
      </c>
      <c r="B260" t="s">
        <v>84</v>
      </c>
      <c r="C260">
        <v>4033.59</v>
      </c>
      <c r="D260">
        <v>562.23</v>
      </c>
      <c r="E260" t="s">
        <v>59</v>
      </c>
    </row>
    <row r="261" spans="1:5" x14ac:dyDescent="0.3">
      <c r="A261" s="9">
        <v>45547</v>
      </c>
      <c r="B261" t="s">
        <v>83</v>
      </c>
      <c r="C261">
        <v>7033.96</v>
      </c>
      <c r="D261">
        <v>1307.8399999999999</v>
      </c>
      <c r="E261" t="s">
        <v>57</v>
      </c>
    </row>
    <row r="262" spans="1:5" x14ac:dyDescent="0.3">
      <c r="A262" s="9">
        <v>45548</v>
      </c>
      <c r="B262" t="s">
        <v>85</v>
      </c>
      <c r="C262">
        <v>3890.57</v>
      </c>
      <c r="D262">
        <v>486.34</v>
      </c>
      <c r="E262" t="s">
        <v>60</v>
      </c>
    </row>
    <row r="263" spans="1:5" x14ac:dyDescent="0.3">
      <c r="A263" s="9">
        <v>45549</v>
      </c>
      <c r="B263" t="s">
        <v>84</v>
      </c>
      <c r="C263">
        <v>4026.13</v>
      </c>
      <c r="D263">
        <v>1425.83</v>
      </c>
      <c r="E263" t="s">
        <v>58</v>
      </c>
    </row>
    <row r="264" spans="1:5" x14ac:dyDescent="0.3">
      <c r="A264" s="9">
        <v>45550</v>
      </c>
      <c r="B264" t="s">
        <v>83</v>
      </c>
      <c r="C264">
        <v>3727.22</v>
      </c>
      <c r="D264">
        <v>616.51</v>
      </c>
      <c r="E264" t="s">
        <v>58</v>
      </c>
    </row>
    <row r="265" spans="1:5" x14ac:dyDescent="0.3">
      <c r="A265" s="9">
        <v>45551</v>
      </c>
      <c r="B265" t="s">
        <v>84</v>
      </c>
      <c r="C265">
        <v>3595.63</v>
      </c>
      <c r="D265">
        <v>1036.2</v>
      </c>
      <c r="E265" t="s">
        <v>60</v>
      </c>
    </row>
    <row r="266" spans="1:5" x14ac:dyDescent="0.3">
      <c r="A266" s="9">
        <v>45552</v>
      </c>
      <c r="B266" t="s">
        <v>84</v>
      </c>
      <c r="C266">
        <v>5499.76</v>
      </c>
      <c r="D266">
        <v>883.21</v>
      </c>
      <c r="E266" t="s">
        <v>58</v>
      </c>
    </row>
    <row r="267" spans="1:5" x14ac:dyDescent="0.3">
      <c r="A267" s="9">
        <v>45553</v>
      </c>
      <c r="B267" t="s">
        <v>85</v>
      </c>
      <c r="C267">
        <v>4613.1499999999996</v>
      </c>
      <c r="D267">
        <v>312.01</v>
      </c>
      <c r="E267" t="s">
        <v>58</v>
      </c>
    </row>
    <row r="268" spans="1:5" x14ac:dyDescent="0.3">
      <c r="A268" s="9">
        <v>45554</v>
      </c>
      <c r="B268" t="s">
        <v>83</v>
      </c>
      <c r="C268">
        <v>-217.25</v>
      </c>
      <c r="D268">
        <v>790.06</v>
      </c>
      <c r="E268" t="s">
        <v>57</v>
      </c>
    </row>
    <row r="269" spans="1:5" x14ac:dyDescent="0.3">
      <c r="A269" s="9">
        <v>45555</v>
      </c>
      <c r="B269" t="s">
        <v>83</v>
      </c>
      <c r="C269">
        <v>4597.6099999999997</v>
      </c>
      <c r="D269">
        <v>966.82</v>
      </c>
      <c r="E269" t="s">
        <v>60</v>
      </c>
    </row>
    <row r="270" spans="1:5" x14ac:dyDescent="0.3">
      <c r="A270" s="9">
        <v>45556</v>
      </c>
      <c r="B270" t="s">
        <v>85</v>
      </c>
      <c r="C270">
        <v>4223.13</v>
      </c>
      <c r="D270">
        <v>767.85</v>
      </c>
      <c r="E270" t="s">
        <v>59</v>
      </c>
    </row>
    <row r="271" spans="1:5" x14ac:dyDescent="0.3">
      <c r="A271" s="9">
        <v>45557</v>
      </c>
      <c r="B271" t="s">
        <v>85</v>
      </c>
      <c r="C271">
        <v>6339.24</v>
      </c>
      <c r="D271">
        <v>128.65</v>
      </c>
      <c r="E271" t="s">
        <v>57</v>
      </c>
    </row>
    <row r="272" spans="1:5" x14ac:dyDescent="0.3">
      <c r="A272" s="9">
        <v>45558</v>
      </c>
      <c r="B272" t="s">
        <v>83</v>
      </c>
      <c r="C272">
        <v>4155.1099999999997</v>
      </c>
      <c r="D272">
        <v>1650.71</v>
      </c>
      <c r="E272" t="s">
        <v>60</v>
      </c>
    </row>
    <row r="273" spans="1:5" x14ac:dyDescent="0.3">
      <c r="A273" s="9">
        <v>45559</v>
      </c>
      <c r="B273" t="s">
        <v>83</v>
      </c>
      <c r="C273">
        <v>8808.89</v>
      </c>
      <c r="D273">
        <v>843.85</v>
      </c>
      <c r="E273" t="s">
        <v>57</v>
      </c>
    </row>
    <row r="274" spans="1:5" x14ac:dyDescent="0.3">
      <c r="A274" s="9">
        <v>45560</v>
      </c>
      <c r="B274" t="s">
        <v>85</v>
      </c>
      <c r="C274">
        <v>7095.19</v>
      </c>
      <c r="D274">
        <v>402.85</v>
      </c>
      <c r="E274" t="s">
        <v>59</v>
      </c>
    </row>
    <row r="275" spans="1:5" x14ac:dyDescent="0.3">
      <c r="A275" s="9">
        <v>45561</v>
      </c>
      <c r="B275" t="s">
        <v>84</v>
      </c>
      <c r="C275">
        <v>4415.13</v>
      </c>
      <c r="D275">
        <v>1610.38</v>
      </c>
      <c r="E275" t="s">
        <v>59</v>
      </c>
    </row>
    <row r="276" spans="1:5" x14ac:dyDescent="0.3">
      <c r="A276" s="9">
        <v>45562</v>
      </c>
      <c r="B276" t="s">
        <v>84</v>
      </c>
      <c r="C276">
        <v>6724.43</v>
      </c>
      <c r="D276">
        <v>1108.69</v>
      </c>
      <c r="E276" t="s">
        <v>60</v>
      </c>
    </row>
    <row r="277" spans="1:5" x14ac:dyDescent="0.3">
      <c r="A277" s="9">
        <v>45563</v>
      </c>
      <c r="B277" t="s">
        <v>85</v>
      </c>
      <c r="C277">
        <v>5787.82</v>
      </c>
      <c r="D277">
        <v>199.92</v>
      </c>
      <c r="E277" t="s">
        <v>59</v>
      </c>
    </row>
    <row r="278" spans="1:5" x14ac:dyDescent="0.3">
      <c r="A278" s="9">
        <v>45564</v>
      </c>
      <c r="B278" t="s">
        <v>84</v>
      </c>
      <c r="C278">
        <v>5350.2</v>
      </c>
      <c r="D278">
        <v>277.75</v>
      </c>
      <c r="E278" t="s">
        <v>57</v>
      </c>
    </row>
    <row r="279" spans="1:5" x14ac:dyDescent="0.3">
      <c r="A279" s="9">
        <v>45565</v>
      </c>
      <c r="B279" t="s">
        <v>85</v>
      </c>
      <c r="C279">
        <v>6203.98</v>
      </c>
      <c r="D279">
        <v>688.8</v>
      </c>
      <c r="E279" t="s">
        <v>59</v>
      </c>
    </row>
    <row r="280" spans="1:5" x14ac:dyDescent="0.3">
      <c r="A280" s="9">
        <v>45566</v>
      </c>
      <c r="B280" t="s">
        <v>84</v>
      </c>
      <c r="C280">
        <v>5081.1099999999997</v>
      </c>
      <c r="D280">
        <v>948.65</v>
      </c>
      <c r="E280" t="s">
        <v>57</v>
      </c>
    </row>
    <row r="281" spans="1:5" x14ac:dyDescent="0.3">
      <c r="A281" s="9">
        <v>45567</v>
      </c>
      <c r="B281" t="s">
        <v>84</v>
      </c>
      <c r="C281">
        <v>5360.53</v>
      </c>
      <c r="D281">
        <v>1111.4000000000001</v>
      </c>
      <c r="E281" t="s">
        <v>57</v>
      </c>
    </row>
    <row r="282" spans="1:5" x14ac:dyDescent="0.3">
      <c r="A282" s="9">
        <v>45568</v>
      </c>
      <c r="B282" t="s">
        <v>83</v>
      </c>
      <c r="C282">
        <v>6235.03</v>
      </c>
      <c r="D282">
        <v>1275.0899999999999</v>
      </c>
      <c r="E282" t="s">
        <v>59</v>
      </c>
    </row>
    <row r="283" spans="1:5" x14ac:dyDescent="0.3">
      <c r="A283" s="9">
        <v>45569</v>
      </c>
      <c r="B283" t="s">
        <v>83</v>
      </c>
      <c r="C283">
        <v>8078.68</v>
      </c>
      <c r="D283">
        <v>1069.79</v>
      </c>
      <c r="E283" t="s">
        <v>60</v>
      </c>
    </row>
    <row r="284" spans="1:5" x14ac:dyDescent="0.3">
      <c r="A284" s="9">
        <v>45570</v>
      </c>
      <c r="B284" t="s">
        <v>84</v>
      </c>
      <c r="C284">
        <v>5376.79</v>
      </c>
      <c r="D284">
        <v>1473.37</v>
      </c>
      <c r="E284" t="s">
        <v>58</v>
      </c>
    </row>
    <row r="285" spans="1:5" x14ac:dyDescent="0.3">
      <c r="A285" s="9">
        <v>45571</v>
      </c>
      <c r="B285" t="s">
        <v>84</v>
      </c>
      <c r="C285">
        <v>4319.3100000000004</v>
      </c>
      <c r="D285">
        <v>863.4</v>
      </c>
      <c r="E285" t="s">
        <v>59</v>
      </c>
    </row>
    <row r="286" spans="1:5" x14ac:dyDescent="0.3">
      <c r="A286" s="9">
        <v>45572</v>
      </c>
      <c r="B286" t="s">
        <v>83</v>
      </c>
      <c r="C286">
        <v>1956.15</v>
      </c>
      <c r="D286">
        <v>420.18</v>
      </c>
      <c r="E286" t="s">
        <v>57</v>
      </c>
    </row>
    <row r="287" spans="1:5" x14ac:dyDescent="0.3">
      <c r="A287" s="9">
        <v>45573</v>
      </c>
      <c r="B287" t="s">
        <v>83</v>
      </c>
      <c r="C287">
        <v>7941.96</v>
      </c>
      <c r="D287">
        <v>798.32</v>
      </c>
      <c r="E287" t="s">
        <v>57</v>
      </c>
    </row>
    <row r="288" spans="1:5" x14ac:dyDescent="0.3">
      <c r="A288" s="9">
        <v>45574</v>
      </c>
      <c r="B288" t="s">
        <v>83</v>
      </c>
      <c r="C288">
        <v>4605.1400000000003</v>
      </c>
      <c r="D288">
        <v>765.51</v>
      </c>
      <c r="E288" t="s">
        <v>59</v>
      </c>
    </row>
    <row r="289" spans="1:5" x14ac:dyDescent="0.3">
      <c r="A289" s="9">
        <v>45575</v>
      </c>
      <c r="B289" t="s">
        <v>85</v>
      </c>
      <c r="C289">
        <v>5802.21</v>
      </c>
      <c r="D289">
        <v>-489.11</v>
      </c>
      <c r="E289" t="s">
        <v>60</v>
      </c>
    </row>
    <row r="290" spans="1:5" x14ac:dyDescent="0.3">
      <c r="A290" s="9">
        <v>45576</v>
      </c>
      <c r="B290" t="s">
        <v>84</v>
      </c>
      <c r="C290">
        <v>7858.86</v>
      </c>
      <c r="D290">
        <v>519.32000000000005</v>
      </c>
      <c r="E290" t="s">
        <v>60</v>
      </c>
    </row>
    <row r="291" spans="1:5" x14ac:dyDescent="0.3">
      <c r="A291" s="9">
        <v>45577</v>
      </c>
      <c r="B291" t="s">
        <v>83</v>
      </c>
      <c r="C291">
        <v>5341.4</v>
      </c>
      <c r="D291">
        <v>957.1</v>
      </c>
      <c r="E291" t="s">
        <v>57</v>
      </c>
    </row>
    <row r="292" spans="1:5" x14ac:dyDescent="0.3">
      <c r="A292" s="9">
        <v>45578</v>
      </c>
      <c r="B292" t="s">
        <v>84</v>
      </c>
      <c r="C292">
        <v>4707.99</v>
      </c>
      <c r="D292">
        <v>587.89</v>
      </c>
      <c r="E292" t="s">
        <v>57</v>
      </c>
    </row>
    <row r="293" spans="1:5" x14ac:dyDescent="0.3">
      <c r="A293" s="9">
        <v>45579</v>
      </c>
      <c r="B293" t="s">
        <v>85</v>
      </c>
      <c r="C293">
        <v>7129.51</v>
      </c>
      <c r="D293">
        <v>476.9</v>
      </c>
      <c r="E293" t="s">
        <v>60</v>
      </c>
    </row>
    <row r="294" spans="1:5" x14ac:dyDescent="0.3">
      <c r="A294" s="9">
        <v>45580</v>
      </c>
      <c r="B294" t="s">
        <v>85</v>
      </c>
      <c r="C294">
        <v>5691.11</v>
      </c>
      <c r="D294">
        <v>1255.69</v>
      </c>
      <c r="E294" t="s">
        <v>58</v>
      </c>
    </row>
    <row r="295" spans="1:5" x14ac:dyDescent="0.3">
      <c r="A295" s="9">
        <v>45581</v>
      </c>
      <c r="B295" t="s">
        <v>83</v>
      </c>
      <c r="C295">
        <v>5879.16</v>
      </c>
      <c r="D295">
        <v>341.73</v>
      </c>
      <c r="E295" t="s">
        <v>59</v>
      </c>
    </row>
    <row r="296" spans="1:5" x14ac:dyDescent="0.3">
      <c r="A296" s="9">
        <v>45582</v>
      </c>
      <c r="B296" t="s">
        <v>85</v>
      </c>
      <c r="C296">
        <v>2715.26</v>
      </c>
      <c r="D296">
        <v>1155.81</v>
      </c>
      <c r="E296" t="s">
        <v>57</v>
      </c>
    </row>
    <row r="297" spans="1:5" x14ac:dyDescent="0.3">
      <c r="A297" s="9">
        <v>45583</v>
      </c>
      <c r="B297" t="s">
        <v>84</v>
      </c>
      <c r="C297">
        <v>6808.87</v>
      </c>
      <c r="D297">
        <v>133.63</v>
      </c>
      <c r="E297" t="s">
        <v>57</v>
      </c>
    </row>
    <row r="298" spans="1:5" x14ac:dyDescent="0.3">
      <c r="A298" s="9">
        <v>45584</v>
      </c>
      <c r="B298" t="s">
        <v>83</v>
      </c>
      <c r="C298">
        <v>5563.38</v>
      </c>
      <c r="D298">
        <v>2180.38</v>
      </c>
      <c r="E298" t="s">
        <v>60</v>
      </c>
    </row>
    <row r="299" spans="1:5" x14ac:dyDescent="0.3">
      <c r="A299" s="9">
        <v>45585</v>
      </c>
      <c r="B299" t="s">
        <v>84</v>
      </c>
      <c r="C299">
        <v>2942.62</v>
      </c>
      <c r="D299">
        <v>692.16</v>
      </c>
      <c r="E299" t="s">
        <v>59</v>
      </c>
    </row>
    <row r="300" spans="1:5" x14ac:dyDescent="0.3">
      <c r="A300" s="9">
        <v>45586</v>
      </c>
      <c r="B300" t="s">
        <v>84</v>
      </c>
      <c r="C300">
        <v>5727.64</v>
      </c>
      <c r="D300">
        <v>638.37</v>
      </c>
      <c r="E300" t="s">
        <v>60</v>
      </c>
    </row>
    <row r="301" spans="1:5" x14ac:dyDescent="0.3">
      <c r="A301" s="9">
        <v>45587</v>
      </c>
      <c r="B301" t="s">
        <v>85</v>
      </c>
      <c r="C301">
        <v>1906.21</v>
      </c>
      <c r="D301">
        <v>1371.53</v>
      </c>
      <c r="E301" t="s">
        <v>59</v>
      </c>
    </row>
    <row r="302" spans="1:5" x14ac:dyDescent="0.3">
      <c r="A302" s="9">
        <v>45588</v>
      </c>
      <c r="B302" t="s">
        <v>85</v>
      </c>
      <c r="C302">
        <v>8512.9599999999991</v>
      </c>
      <c r="D302">
        <v>590.65</v>
      </c>
      <c r="E302" t="s">
        <v>59</v>
      </c>
    </row>
    <row r="303" spans="1:5" x14ac:dyDescent="0.3">
      <c r="A303" s="9">
        <v>45589</v>
      </c>
      <c r="B303" t="s">
        <v>85</v>
      </c>
      <c r="C303">
        <v>3347.22</v>
      </c>
      <c r="D303">
        <v>1527.46</v>
      </c>
      <c r="E303" t="s">
        <v>59</v>
      </c>
    </row>
    <row r="304" spans="1:5" x14ac:dyDescent="0.3">
      <c r="A304" s="9">
        <v>45590</v>
      </c>
      <c r="B304" t="s">
        <v>85</v>
      </c>
      <c r="C304">
        <v>7417.69</v>
      </c>
      <c r="D304">
        <v>985.8</v>
      </c>
      <c r="E304" t="s">
        <v>57</v>
      </c>
    </row>
    <row r="305" spans="1:5" x14ac:dyDescent="0.3">
      <c r="A305" s="9">
        <v>45591</v>
      </c>
      <c r="B305" t="s">
        <v>85</v>
      </c>
      <c r="C305">
        <v>3780.57</v>
      </c>
      <c r="D305">
        <v>740.8</v>
      </c>
      <c r="E305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pane ySplit="5" topLeftCell="A8" activePane="bottomLeft" state="frozen"/>
      <selection pane="bottomLeft" activeCell="G22" sqref="G22"/>
    </sheetView>
  </sheetViews>
  <sheetFormatPr defaultRowHeight="14.4" x14ac:dyDescent="0.3"/>
  <cols>
    <col min="1" max="26" width="22.6640625" customWidth="1"/>
  </cols>
  <sheetData>
    <row r="1" spans="1:6" ht="31.2" x14ac:dyDescent="0.6">
      <c r="A1" s="1" t="s">
        <v>100</v>
      </c>
    </row>
    <row r="5" spans="1:6" x14ac:dyDescent="0.3">
      <c r="A5" t="s">
        <v>101</v>
      </c>
      <c r="B5" t="s">
        <v>102</v>
      </c>
      <c r="C5" t="s">
        <v>103</v>
      </c>
      <c r="F5" s="6" t="s">
        <v>116</v>
      </c>
    </row>
    <row r="6" spans="1:6" x14ac:dyDescent="0.3">
      <c r="A6" t="s">
        <v>104</v>
      </c>
      <c r="B6" t="s">
        <v>108</v>
      </c>
      <c r="C6" t="s">
        <v>112</v>
      </c>
    </row>
    <row r="7" spans="1:6" ht="28.8" x14ac:dyDescent="0.3">
      <c r="A7" t="s">
        <v>105</v>
      </c>
      <c r="B7" t="s">
        <v>109</v>
      </c>
      <c r="C7" t="s">
        <v>113</v>
      </c>
      <c r="F7" s="7" t="s">
        <v>117</v>
      </c>
    </row>
    <row r="8" spans="1:6" ht="28.8" x14ac:dyDescent="0.3">
      <c r="A8" t="s">
        <v>106</v>
      </c>
      <c r="B8" t="s">
        <v>110</v>
      </c>
      <c r="C8" t="s">
        <v>114</v>
      </c>
      <c r="F8" s="7" t="s">
        <v>118</v>
      </c>
    </row>
    <row r="9" spans="1:6" ht="28.8" x14ac:dyDescent="0.3">
      <c r="A9" t="s">
        <v>107</v>
      </c>
      <c r="B9" t="s">
        <v>111</v>
      </c>
      <c r="C9" t="s">
        <v>115</v>
      </c>
      <c r="F9" s="7" t="s">
        <v>119</v>
      </c>
    </row>
    <row r="10" spans="1:6" ht="28.8" x14ac:dyDescent="0.3">
      <c r="F10" s="7" t="s">
        <v>120</v>
      </c>
    </row>
    <row r="11" spans="1:6" ht="28.8" x14ac:dyDescent="0.3">
      <c r="F11" s="7" t="s">
        <v>121</v>
      </c>
    </row>
    <row r="12" spans="1:6" x14ac:dyDescent="0.3">
      <c r="F12" s="7" t="s">
        <v>122</v>
      </c>
    </row>
    <row r="13" spans="1:6" x14ac:dyDescent="0.3">
      <c r="F13" s="7" t="s">
        <v>123</v>
      </c>
    </row>
    <row r="15" spans="1:6" x14ac:dyDescent="0.3">
      <c r="F15" s="8" t="s">
        <v>124</v>
      </c>
    </row>
    <row r="17" spans="6:7" x14ac:dyDescent="0.3">
      <c r="F17" s="3" t="s">
        <v>125</v>
      </c>
      <c r="G17" s="4" t="str">
        <f>TRIM(A6)</f>
        <v>john doe</v>
      </c>
    </row>
    <row r="18" spans="6:7" x14ac:dyDescent="0.3">
      <c r="F18" s="3" t="s">
        <v>126</v>
      </c>
      <c r="G18" s="4" t="str">
        <f>PROPER(A6)</f>
        <v xml:space="preserve">  John Doe</v>
      </c>
    </row>
    <row r="19" spans="6:7" x14ac:dyDescent="0.3">
      <c r="F19" s="3" t="s">
        <v>127</v>
      </c>
      <c r="G19" s="4" t="str">
        <f>LOWER(A6)</f>
        <v xml:space="preserve">  john doe</v>
      </c>
    </row>
    <row r="20" spans="6:7" x14ac:dyDescent="0.3">
      <c r="F20" s="3" t="s">
        <v>128</v>
      </c>
      <c r="G20" s="4" t="str">
        <f>UPPER(A6)</f>
        <v xml:space="preserve">  JOHN DOE</v>
      </c>
    </row>
    <row r="21" spans="6:7" x14ac:dyDescent="0.3">
      <c r="F21" s="3" t="s">
        <v>129</v>
      </c>
      <c r="G21" s="4" t="e" cm="1">
        <f t="array" aca="1" ref="G21" ca="1">TEXTSPLIT(C6,,";")</f>
        <v>#NAME?</v>
      </c>
    </row>
    <row r="22" spans="6:7" x14ac:dyDescent="0.3">
      <c r="F22" s="3" t="s">
        <v>130</v>
      </c>
      <c r="G22" s="4">
        <f>LEN(B6)</f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5"/>
  <sheetViews>
    <sheetView workbookViewId="0">
      <pane ySplit="5" topLeftCell="A12" activePane="bottomLeft" state="frozen"/>
      <selection pane="bottomLeft"/>
    </sheetView>
  </sheetViews>
  <sheetFormatPr defaultRowHeight="14.4" x14ac:dyDescent="0.3"/>
  <cols>
    <col min="1" max="26" width="22.6640625" customWidth="1"/>
  </cols>
  <sheetData>
    <row r="1" spans="1:4" ht="31.2" x14ac:dyDescent="0.6">
      <c r="A1" s="1" t="s">
        <v>131</v>
      </c>
    </row>
    <row r="5" spans="1:4" x14ac:dyDescent="0.3">
      <c r="A5" t="s">
        <v>132</v>
      </c>
      <c r="D5" s="6" t="s">
        <v>133</v>
      </c>
    </row>
    <row r="6" spans="1:4" x14ac:dyDescent="0.3">
      <c r="A6">
        <v>8507388</v>
      </c>
    </row>
    <row r="7" spans="1:4" x14ac:dyDescent="0.3">
      <c r="A7">
        <v>14256236</v>
      </c>
      <c r="D7" s="7" t="s">
        <v>134</v>
      </c>
    </row>
    <row r="8" spans="1:4" x14ac:dyDescent="0.3">
      <c r="A8">
        <v>17701101</v>
      </c>
      <c r="D8" s="7" t="s">
        <v>135</v>
      </c>
    </row>
    <row r="9" spans="1:4" x14ac:dyDescent="0.3">
      <c r="A9">
        <v>12506923</v>
      </c>
      <c r="D9" s="7" t="s">
        <v>136</v>
      </c>
    </row>
    <row r="10" spans="1:4" ht="28.8" x14ac:dyDescent="0.3">
      <c r="A10">
        <v>8314163</v>
      </c>
      <c r="D10" s="7" t="s">
        <v>137</v>
      </c>
    </row>
    <row r="11" spans="1:4" x14ac:dyDescent="0.3">
      <c r="A11">
        <v>15600904</v>
      </c>
      <c r="D11" s="7" t="s">
        <v>138</v>
      </c>
    </row>
    <row r="12" spans="1:4" x14ac:dyDescent="0.3">
      <c r="A12">
        <v>4210471</v>
      </c>
      <c r="D12" s="7" t="s">
        <v>139</v>
      </c>
    </row>
    <row r="13" spans="1:4" x14ac:dyDescent="0.3">
      <c r="A13">
        <v>6211866</v>
      </c>
      <c r="D13" s="7" t="s">
        <v>140</v>
      </c>
    </row>
    <row r="14" spans="1:4" x14ac:dyDescent="0.3">
      <c r="A14">
        <v>6567778</v>
      </c>
    </row>
    <row r="15" spans="1:4" x14ac:dyDescent="0.3">
      <c r="A15">
        <v>8749654</v>
      </c>
      <c r="D15" s="8" t="s">
        <v>141</v>
      </c>
    </row>
    <row r="16" spans="1:4" x14ac:dyDescent="0.3">
      <c r="A16">
        <v>11448478</v>
      </c>
    </row>
    <row r="17" spans="1:5" x14ac:dyDescent="0.3">
      <c r="A17">
        <v>8037620</v>
      </c>
      <c r="D17" s="3" t="s">
        <v>73</v>
      </c>
      <c r="E17" s="4">
        <f>AVERAGE(A6:A205)</f>
        <v>10778529.685000001</v>
      </c>
    </row>
    <row r="18" spans="1:5" x14ac:dyDescent="0.3">
      <c r="A18">
        <v>5648960</v>
      </c>
      <c r="D18" s="3" t="s">
        <v>142</v>
      </c>
      <c r="E18" s="4">
        <f>MEDIAN(A6:A205)</f>
        <v>9136732</v>
      </c>
    </row>
    <row r="19" spans="1:5" x14ac:dyDescent="0.3">
      <c r="A19">
        <v>14467642</v>
      </c>
      <c r="D19" s="3" t="s">
        <v>143</v>
      </c>
      <c r="E19" s="4" t="e">
        <f>MODE(A6:A205)</f>
        <v>#N/A</v>
      </c>
    </row>
    <row r="20" spans="1:5" x14ac:dyDescent="0.3">
      <c r="A20">
        <v>7899197</v>
      </c>
      <c r="D20" s="3" t="s">
        <v>144</v>
      </c>
      <c r="E20" s="4">
        <f>STDEV(A6:A205)</f>
        <v>5984262.1530831167</v>
      </c>
    </row>
    <row r="21" spans="1:5" x14ac:dyDescent="0.3">
      <c r="A21">
        <v>9351660</v>
      </c>
      <c r="D21" s="3" t="s">
        <v>145</v>
      </c>
      <c r="E21" s="4">
        <f>VAR(A6:A205)</f>
        <v>35811393516822.977</v>
      </c>
    </row>
    <row r="22" spans="1:5" x14ac:dyDescent="0.3">
      <c r="A22">
        <v>11705084</v>
      </c>
      <c r="D22" s="3" t="s">
        <v>146</v>
      </c>
      <c r="E22" s="4">
        <f>SKEW(A6:A205)</f>
        <v>1.9072163027466178</v>
      </c>
    </row>
    <row r="23" spans="1:5" x14ac:dyDescent="0.3">
      <c r="A23">
        <v>9060536</v>
      </c>
      <c r="D23" s="3" t="s">
        <v>147</v>
      </c>
      <c r="E23" s="4">
        <f>QUARTILE(A6:A205,1)</f>
        <v>6757467</v>
      </c>
    </row>
    <row r="24" spans="1:5" x14ac:dyDescent="0.3">
      <c r="A24">
        <v>9080464</v>
      </c>
    </row>
    <row r="25" spans="1:5" x14ac:dyDescent="0.3">
      <c r="A25">
        <v>14875658</v>
      </c>
    </row>
    <row r="26" spans="1:5" x14ac:dyDescent="0.3">
      <c r="A26">
        <v>9584758</v>
      </c>
    </row>
    <row r="27" spans="1:5" x14ac:dyDescent="0.3">
      <c r="A27">
        <v>13679357</v>
      </c>
    </row>
    <row r="28" spans="1:5" x14ac:dyDescent="0.3">
      <c r="A28">
        <v>11667686</v>
      </c>
    </row>
    <row r="29" spans="1:5" x14ac:dyDescent="0.3">
      <c r="A29">
        <v>24359775</v>
      </c>
    </row>
    <row r="30" spans="1:5" x14ac:dyDescent="0.3">
      <c r="A30">
        <v>10904725</v>
      </c>
    </row>
    <row r="31" spans="1:5" x14ac:dyDescent="0.3">
      <c r="A31">
        <v>12224915</v>
      </c>
    </row>
    <row r="32" spans="1:5" x14ac:dyDescent="0.3">
      <c r="A32">
        <v>15414641</v>
      </c>
    </row>
    <row r="33" spans="1:1" x14ac:dyDescent="0.3">
      <c r="A33">
        <v>9173311</v>
      </c>
    </row>
    <row r="34" spans="1:1" x14ac:dyDescent="0.3">
      <c r="A34">
        <v>6459571</v>
      </c>
    </row>
    <row r="35" spans="1:1" x14ac:dyDescent="0.3">
      <c r="A35">
        <v>7010553</v>
      </c>
    </row>
    <row r="36" spans="1:1" x14ac:dyDescent="0.3">
      <c r="A36">
        <v>7044421</v>
      </c>
    </row>
    <row r="37" spans="1:1" x14ac:dyDescent="0.3">
      <c r="A37">
        <v>5525225</v>
      </c>
    </row>
    <row r="38" spans="1:1" x14ac:dyDescent="0.3">
      <c r="A38">
        <v>10416510</v>
      </c>
    </row>
    <row r="39" spans="1:1" x14ac:dyDescent="0.3">
      <c r="A39">
        <v>6486552</v>
      </c>
    </row>
    <row r="40" spans="1:1" x14ac:dyDescent="0.3">
      <c r="A40">
        <v>9795429</v>
      </c>
    </row>
    <row r="41" spans="1:1" x14ac:dyDescent="0.3">
      <c r="A41">
        <v>8208352</v>
      </c>
    </row>
    <row r="42" spans="1:1" x14ac:dyDescent="0.3">
      <c r="A42">
        <v>8703095</v>
      </c>
    </row>
    <row r="43" spans="1:1" x14ac:dyDescent="0.3">
      <c r="A43">
        <v>11734319</v>
      </c>
    </row>
    <row r="44" spans="1:1" x14ac:dyDescent="0.3">
      <c r="A44">
        <v>6777036</v>
      </c>
    </row>
    <row r="45" spans="1:1" x14ac:dyDescent="0.3">
      <c r="A45">
        <v>12230526</v>
      </c>
    </row>
    <row r="46" spans="1:1" x14ac:dyDescent="0.3">
      <c r="A46">
        <v>19455764</v>
      </c>
    </row>
    <row r="47" spans="1:1" x14ac:dyDescent="0.3">
      <c r="A47">
        <v>10549136</v>
      </c>
    </row>
    <row r="48" spans="1:1" x14ac:dyDescent="0.3">
      <c r="A48">
        <v>6010101</v>
      </c>
    </row>
    <row r="49" spans="1:1" x14ac:dyDescent="0.3">
      <c r="A49">
        <v>6533746</v>
      </c>
    </row>
    <row r="50" spans="1:1" x14ac:dyDescent="0.3">
      <c r="A50">
        <v>7848779</v>
      </c>
    </row>
    <row r="51" spans="1:1" x14ac:dyDescent="0.3">
      <c r="A51">
        <v>6599833</v>
      </c>
    </row>
    <row r="52" spans="1:1" x14ac:dyDescent="0.3">
      <c r="A52">
        <v>5413519</v>
      </c>
    </row>
    <row r="53" spans="1:1" x14ac:dyDescent="0.3">
      <c r="A53">
        <v>9599328</v>
      </c>
    </row>
    <row r="54" spans="1:1" x14ac:dyDescent="0.3">
      <c r="A54">
        <v>7955717</v>
      </c>
    </row>
    <row r="55" spans="1:1" x14ac:dyDescent="0.3">
      <c r="A55">
        <v>9770326</v>
      </c>
    </row>
    <row r="56" spans="1:1" x14ac:dyDescent="0.3">
      <c r="A56">
        <v>16081719</v>
      </c>
    </row>
    <row r="57" spans="1:1" x14ac:dyDescent="0.3">
      <c r="A57">
        <v>7895658</v>
      </c>
    </row>
    <row r="58" spans="1:1" x14ac:dyDescent="0.3">
      <c r="A58">
        <v>4912483</v>
      </c>
    </row>
    <row r="59" spans="1:1" x14ac:dyDescent="0.3">
      <c r="A59">
        <v>7279362</v>
      </c>
    </row>
    <row r="60" spans="1:1" x14ac:dyDescent="0.3">
      <c r="A60">
        <v>13061932</v>
      </c>
    </row>
    <row r="61" spans="1:1" x14ac:dyDescent="0.3">
      <c r="A61">
        <v>12464375</v>
      </c>
    </row>
    <row r="62" spans="1:1" x14ac:dyDescent="0.3">
      <c r="A62">
        <v>11516828</v>
      </c>
    </row>
    <row r="63" spans="1:1" x14ac:dyDescent="0.3">
      <c r="A63">
        <v>6502171</v>
      </c>
    </row>
    <row r="64" spans="1:1" x14ac:dyDescent="0.3">
      <c r="A64">
        <v>12941520</v>
      </c>
    </row>
    <row r="65" spans="1:1" x14ac:dyDescent="0.3">
      <c r="A65">
        <v>14482470</v>
      </c>
    </row>
    <row r="66" spans="1:1" x14ac:dyDescent="0.3">
      <c r="A66">
        <v>6276287</v>
      </c>
    </row>
    <row r="67" spans="1:1" x14ac:dyDescent="0.3">
      <c r="A67">
        <v>8703319</v>
      </c>
    </row>
    <row r="68" spans="1:1" x14ac:dyDescent="0.3">
      <c r="A68">
        <v>24402618</v>
      </c>
    </row>
    <row r="69" spans="1:1" x14ac:dyDescent="0.3">
      <c r="A69">
        <v>6138327</v>
      </c>
    </row>
    <row r="70" spans="1:1" x14ac:dyDescent="0.3">
      <c r="A70">
        <v>3788409</v>
      </c>
    </row>
    <row r="71" spans="1:1" x14ac:dyDescent="0.3">
      <c r="A71">
        <v>17742123</v>
      </c>
    </row>
    <row r="72" spans="1:1" x14ac:dyDescent="0.3">
      <c r="A72">
        <v>15686364</v>
      </c>
    </row>
    <row r="73" spans="1:1" x14ac:dyDescent="0.3">
      <c r="A73">
        <v>7071027</v>
      </c>
    </row>
    <row r="74" spans="1:1" x14ac:dyDescent="0.3">
      <c r="A74">
        <v>8398000</v>
      </c>
    </row>
    <row r="75" spans="1:1" x14ac:dyDescent="0.3">
      <c r="A75">
        <v>4816377</v>
      </c>
    </row>
    <row r="76" spans="1:1" x14ac:dyDescent="0.3">
      <c r="A76">
        <v>9290251</v>
      </c>
    </row>
    <row r="77" spans="1:1" x14ac:dyDescent="0.3">
      <c r="A77">
        <v>15917932</v>
      </c>
    </row>
    <row r="78" spans="1:1" x14ac:dyDescent="0.3">
      <c r="A78">
        <v>6774645</v>
      </c>
    </row>
    <row r="79" spans="1:1" x14ac:dyDescent="0.3">
      <c r="A79">
        <v>13777550</v>
      </c>
    </row>
    <row r="80" spans="1:1" x14ac:dyDescent="0.3">
      <c r="A80">
        <v>11204902</v>
      </c>
    </row>
    <row r="81" spans="1:1" x14ac:dyDescent="0.3">
      <c r="A81">
        <v>11862687</v>
      </c>
    </row>
    <row r="82" spans="1:1" x14ac:dyDescent="0.3">
      <c r="A82">
        <v>6975018</v>
      </c>
    </row>
    <row r="83" spans="1:1" x14ac:dyDescent="0.3">
      <c r="A83">
        <v>7442281</v>
      </c>
    </row>
    <row r="84" spans="1:1" x14ac:dyDescent="0.3">
      <c r="A84">
        <v>3529313</v>
      </c>
    </row>
    <row r="85" spans="1:1" x14ac:dyDescent="0.3">
      <c r="A85">
        <v>6693619</v>
      </c>
    </row>
    <row r="86" spans="1:1" x14ac:dyDescent="0.3">
      <c r="A86">
        <v>15898618</v>
      </c>
    </row>
    <row r="87" spans="1:1" x14ac:dyDescent="0.3">
      <c r="A87">
        <v>5583542</v>
      </c>
    </row>
    <row r="88" spans="1:1" x14ac:dyDescent="0.3">
      <c r="A88">
        <v>6015495</v>
      </c>
    </row>
    <row r="89" spans="1:1" x14ac:dyDescent="0.3">
      <c r="A89">
        <v>12238471</v>
      </c>
    </row>
    <row r="90" spans="1:1" x14ac:dyDescent="0.3">
      <c r="A90">
        <v>10868553</v>
      </c>
    </row>
    <row r="91" spans="1:1" x14ac:dyDescent="0.3">
      <c r="A91">
        <v>12546241</v>
      </c>
    </row>
    <row r="92" spans="1:1" x14ac:dyDescent="0.3">
      <c r="A92">
        <v>4967314</v>
      </c>
    </row>
    <row r="93" spans="1:1" x14ac:dyDescent="0.3">
      <c r="A93">
        <v>32025050</v>
      </c>
    </row>
    <row r="94" spans="1:1" x14ac:dyDescent="0.3">
      <c r="A94">
        <v>4838539</v>
      </c>
    </row>
    <row r="95" spans="1:1" x14ac:dyDescent="0.3">
      <c r="A95">
        <v>9598560</v>
      </c>
    </row>
    <row r="96" spans="1:1" x14ac:dyDescent="0.3">
      <c r="A96">
        <v>8208430</v>
      </c>
    </row>
    <row r="97" spans="1:1" x14ac:dyDescent="0.3">
      <c r="A97">
        <v>4909483</v>
      </c>
    </row>
    <row r="98" spans="1:1" x14ac:dyDescent="0.3">
      <c r="A98">
        <v>7384511</v>
      </c>
    </row>
    <row r="99" spans="1:1" x14ac:dyDescent="0.3">
      <c r="A99">
        <v>8990273</v>
      </c>
    </row>
    <row r="100" spans="1:1" x14ac:dyDescent="0.3">
      <c r="A100">
        <v>6420544</v>
      </c>
    </row>
    <row r="101" spans="1:1" x14ac:dyDescent="0.3">
      <c r="A101">
        <v>14198002</v>
      </c>
    </row>
    <row r="102" spans="1:1" x14ac:dyDescent="0.3">
      <c r="A102">
        <v>8196249</v>
      </c>
    </row>
    <row r="103" spans="1:1" x14ac:dyDescent="0.3">
      <c r="A103">
        <v>4544202</v>
      </c>
    </row>
    <row r="104" spans="1:1" x14ac:dyDescent="0.3">
      <c r="A104">
        <v>4355445</v>
      </c>
    </row>
    <row r="105" spans="1:1" x14ac:dyDescent="0.3">
      <c r="A105">
        <v>12032027</v>
      </c>
    </row>
    <row r="106" spans="1:1" x14ac:dyDescent="0.3">
      <c r="A106">
        <v>4225358</v>
      </c>
    </row>
    <row r="107" spans="1:1" x14ac:dyDescent="0.3">
      <c r="A107">
        <v>10409330</v>
      </c>
    </row>
    <row r="108" spans="1:1" x14ac:dyDescent="0.3">
      <c r="A108">
        <v>11098578</v>
      </c>
    </row>
    <row r="109" spans="1:1" x14ac:dyDescent="0.3">
      <c r="A109">
        <v>5402230</v>
      </c>
    </row>
    <row r="110" spans="1:1" x14ac:dyDescent="0.3">
      <c r="A110">
        <v>13871807</v>
      </c>
    </row>
    <row r="111" spans="1:1" x14ac:dyDescent="0.3">
      <c r="A111">
        <v>3764416</v>
      </c>
    </row>
    <row r="112" spans="1:1" x14ac:dyDescent="0.3">
      <c r="A112">
        <v>10305924</v>
      </c>
    </row>
    <row r="113" spans="1:1" x14ac:dyDescent="0.3">
      <c r="A113">
        <v>8706418</v>
      </c>
    </row>
    <row r="114" spans="1:1" x14ac:dyDescent="0.3">
      <c r="A114">
        <v>8372818</v>
      </c>
    </row>
    <row r="115" spans="1:1" x14ac:dyDescent="0.3">
      <c r="A115">
        <v>4930997</v>
      </c>
    </row>
    <row r="116" spans="1:1" x14ac:dyDescent="0.3">
      <c r="A116">
        <v>5562115</v>
      </c>
    </row>
    <row r="117" spans="1:1" x14ac:dyDescent="0.3">
      <c r="A117">
        <v>19963198</v>
      </c>
    </row>
    <row r="118" spans="1:1" x14ac:dyDescent="0.3">
      <c r="A118">
        <v>16314707</v>
      </c>
    </row>
    <row r="119" spans="1:1" x14ac:dyDescent="0.3">
      <c r="A119">
        <v>12878146</v>
      </c>
    </row>
    <row r="120" spans="1:1" x14ac:dyDescent="0.3">
      <c r="A120">
        <v>14216645</v>
      </c>
    </row>
    <row r="121" spans="1:1" x14ac:dyDescent="0.3">
      <c r="A121">
        <v>13565044</v>
      </c>
    </row>
    <row r="122" spans="1:1" x14ac:dyDescent="0.3">
      <c r="A122">
        <v>7559548</v>
      </c>
    </row>
    <row r="123" spans="1:1" x14ac:dyDescent="0.3">
      <c r="A123">
        <v>9100153</v>
      </c>
    </row>
    <row r="124" spans="1:1" x14ac:dyDescent="0.3">
      <c r="A124">
        <v>4255598</v>
      </c>
    </row>
    <row r="125" spans="1:1" x14ac:dyDescent="0.3">
      <c r="A125">
        <v>8496392</v>
      </c>
    </row>
    <row r="126" spans="1:1" x14ac:dyDescent="0.3">
      <c r="A126">
        <v>16057830</v>
      </c>
    </row>
    <row r="127" spans="1:1" x14ac:dyDescent="0.3">
      <c r="A127">
        <v>6386177</v>
      </c>
    </row>
    <row r="128" spans="1:1" x14ac:dyDescent="0.3">
      <c r="A128">
        <v>14821222</v>
      </c>
    </row>
    <row r="129" spans="1:1" x14ac:dyDescent="0.3">
      <c r="A129">
        <v>9302492</v>
      </c>
    </row>
    <row r="130" spans="1:1" x14ac:dyDescent="0.3">
      <c r="A130">
        <v>4445105</v>
      </c>
    </row>
    <row r="131" spans="1:1" x14ac:dyDescent="0.3">
      <c r="A131">
        <v>5108111</v>
      </c>
    </row>
    <row r="132" spans="1:1" x14ac:dyDescent="0.3">
      <c r="A132">
        <v>14071351</v>
      </c>
    </row>
    <row r="133" spans="1:1" x14ac:dyDescent="0.3">
      <c r="A133">
        <v>11713611</v>
      </c>
    </row>
    <row r="134" spans="1:1" x14ac:dyDescent="0.3">
      <c r="A134">
        <v>9349955</v>
      </c>
    </row>
    <row r="135" spans="1:1" x14ac:dyDescent="0.3">
      <c r="A135">
        <v>7748301</v>
      </c>
    </row>
    <row r="136" spans="1:1" x14ac:dyDescent="0.3">
      <c r="A136">
        <v>9872701</v>
      </c>
    </row>
    <row r="137" spans="1:1" x14ac:dyDescent="0.3">
      <c r="A137">
        <v>13799572</v>
      </c>
    </row>
    <row r="138" spans="1:1" x14ac:dyDescent="0.3">
      <c r="A138">
        <v>18586139</v>
      </c>
    </row>
    <row r="139" spans="1:1" x14ac:dyDescent="0.3">
      <c r="A139">
        <v>19035993</v>
      </c>
    </row>
    <row r="140" spans="1:1" x14ac:dyDescent="0.3">
      <c r="A140">
        <v>10702415</v>
      </c>
    </row>
    <row r="141" spans="1:1" x14ac:dyDescent="0.3">
      <c r="A141">
        <v>8154122</v>
      </c>
    </row>
    <row r="142" spans="1:1" x14ac:dyDescent="0.3">
      <c r="A142">
        <v>9560246</v>
      </c>
    </row>
    <row r="143" spans="1:1" x14ac:dyDescent="0.3">
      <c r="A143">
        <v>11536889</v>
      </c>
    </row>
    <row r="144" spans="1:1" x14ac:dyDescent="0.3">
      <c r="A144">
        <v>11513531</v>
      </c>
    </row>
    <row r="145" spans="1:1" x14ac:dyDescent="0.3">
      <c r="A145">
        <v>17089817</v>
      </c>
    </row>
    <row r="146" spans="1:1" x14ac:dyDescent="0.3">
      <c r="A146">
        <v>25594239</v>
      </c>
    </row>
    <row r="147" spans="1:1" x14ac:dyDescent="0.3">
      <c r="A147">
        <v>8019388</v>
      </c>
    </row>
    <row r="148" spans="1:1" x14ac:dyDescent="0.3">
      <c r="A148">
        <v>26112964</v>
      </c>
    </row>
    <row r="149" spans="1:1" x14ac:dyDescent="0.3">
      <c r="A149">
        <v>15968357</v>
      </c>
    </row>
    <row r="150" spans="1:1" x14ac:dyDescent="0.3">
      <c r="A150">
        <v>8449252</v>
      </c>
    </row>
    <row r="151" spans="1:1" x14ac:dyDescent="0.3">
      <c r="A151">
        <v>18798402</v>
      </c>
    </row>
    <row r="152" spans="1:1" x14ac:dyDescent="0.3">
      <c r="A152">
        <v>20641706</v>
      </c>
    </row>
    <row r="153" spans="1:1" x14ac:dyDescent="0.3">
      <c r="A153">
        <v>7059271</v>
      </c>
    </row>
    <row r="154" spans="1:1" x14ac:dyDescent="0.3">
      <c r="A154">
        <v>21127955</v>
      </c>
    </row>
    <row r="155" spans="1:1" x14ac:dyDescent="0.3">
      <c r="A155">
        <v>15211183</v>
      </c>
    </row>
    <row r="156" spans="1:1" x14ac:dyDescent="0.3">
      <c r="A156">
        <v>29042754</v>
      </c>
    </row>
    <row r="157" spans="1:1" x14ac:dyDescent="0.3">
      <c r="A157">
        <v>7188411</v>
      </c>
    </row>
    <row r="158" spans="1:1" x14ac:dyDescent="0.3">
      <c r="A158">
        <v>7446738</v>
      </c>
    </row>
    <row r="159" spans="1:1" x14ac:dyDescent="0.3">
      <c r="A159">
        <v>3225727</v>
      </c>
    </row>
    <row r="160" spans="1:1" x14ac:dyDescent="0.3">
      <c r="A160">
        <v>11823468</v>
      </c>
    </row>
    <row r="161" spans="1:1" x14ac:dyDescent="0.3">
      <c r="A161">
        <v>10720042</v>
      </c>
    </row>
    <row r="162" spans="1:1" x14ac:dyDescent="0.3">
      <c r="A162">
        <v>6705933</v>
      </c>
    </row>
    <row r="163" spans="1:1" x14ac:dyDescent="0.3">
      <c r="A163">
        <v>8529784</v>
      </c>
    </row>
    <row r="164" spans="1:1" x14ac:dyDescent="0.3">
      <c r="A164">
        <v>4613002</v>
      </c>
    </row>
    <row r="165" spans="1:1" x14ac:dyDescent="0.3">
      <c r="A165">
        <v>16178965</v>
      </c>
    </row>
    <row r="166" spans="1:1" x14ac:dyDescent="0.3">
      <c r="A166">
        <v>6956244</v>
      </c>
    </row>
    <row r="167" spans="1:1" x14ac:dyDescent="0.3">
      <c r="A167">
        <v>41742256</v>
      </c>
    </row>
    <row r="168" spans="1:1" x14ac:dyDescent="0.3">
      <c r="A168">
        <v>8139175</v>
      </c>
    </row>
    <row r="169" spans="1:1" x14ac:dyDescent="0.3">
      <c r="A169">
        <v>6078026</v>
      </c>
    </row>
    <row r="170" spans="1:1" x14ac:dyDescent="0.3">
      <c r="A170">
        <v>7230679</v>
      </c>
    </row>
    <row r="171" spans="1:1" x14ac:dyDescent="0.3">
      <c r="A171">
        <v>4386400</v>
      </c>
    </row>
    <row r="172" spans="1:1" x14ac:dyDescent="0.3">
      <c r="A172">
        <v>11309300</v>
      </c>
    </row>
    <row r="173" spans="1:1" x14ac:dyDescent="0.3">
      <c r="A173">
        <v>7203302</v>
      </c>
    </row>
    <row r="174" spans="1:1" x14ac:dyDescent="0.3">
      <c r="A174">
        <v>15644444</v>
      </c>
    </row>
    <row r="175" spans="1:1" x14ac:dyDescent="0.3">
      <c r="A175">
        <v>7745528</v>
      </c>
    </row>
    <row r="176" spans="1:1" x14ac:dyDescent="0.3">
      <c r="A176">
        <v>17755769</v>
      </c>
    </row>
    <row r="177" spans="1:1" x14ac:dyDescent="0.3">
      <c r="A177">
        <v>12977503</v>
      </c>
    </row>
    <row r="178" spans="1:1" x14ac:dyDescent="0.3">
      <c r="A178">
        <v>9014080</v>
      </c>
    </row>
    <row r="179" spans="1:1" x14ac:dyDescent="0.3">
      <c r="A179">
        <v>19581901</v>
      </c>
    </row>
    <row r="180" spans="1:1" x14ac:dyDescent="0.3">
      <c r="A180">
        <v>14305387</v>
      </c>
    </row>
    <row r="181" spans="1:1" x14ac:dyDescent="0.3">
      <c r="A181">
        <v>38768027</v>
      </c>
    </row>
    <row r="182" spans="1:1" x14ac:dyDescent="0.3">
      <c r="A182">
        <v>7241018</v>
      </c>
    </row>
    <row r="183" spans="1:1" x14ac:dyDescent="0.3">
      <c r="A183">
        <v>9233124</v>
      </c>
    </row>
    <row r="184" spans="1:1" x14ac:dyDescent="0.3">
      <c r="A184">
        <v>19469399</v>
      </c>
    </row>
    <row r="185" spans="1:1" x14ac:dyDescent="0.3">
      <c r="A185">
        <v>4107114</v>
      </c>
    </row>
    <row r="186" spans="1:1" x14ac:dyDescent="0.3">
      <c r="A186">
        <v>17166524</v>
      </c>
    </row>
    <row r="187" spans="1:1" x14ac:dyDescent="0.3">
      <c r="A187">
        <v>11068916</v>
      </c>
    </row>
    <row r="188" spans="1:1" x14ac:dyDescent="0.3">
      <c r="A188">
        <v>5699532</v>
      </c>
    </row>
    <row r="189" spans="1:1" x14ac:dyDescent="0.3">
      <c r="A189">
        <v>4495018</v>
      </c>
    </row>
    <row r="190" spans="1:1" x14ac:dyDescent="0.3">
      <c r="A190">
        <v>6348666</v>
      </c>
    </row>
    <row r="191" spans="1:1" x14ac:dyDescent="0.3">
      <c r="A191">
        <v>2835107</v>
      </c>
    </row>
    <row r="192" spans="1:1" x14ac:dyDescent="0.3">
      <c r="A192">
        <v>6956801</v>
      </c>
    </row>
    <row r="193" spans="1:1" x14ac:dyDescent="0.3">
      <c r="A193">
        <v>12131042</v>
      </c>
    </row>
    <row r="194" spans="1:1" x14ac:dyDescent="0.3">
      <c r="A194">
        <v>7003003</v>
      </c>
    </row>
    <row r="195" spans="1:1" x14ac:dyDescent="0.3">
      <c r="A195">
        <v>17790165</v>
      </c>
    </row>
    <row r="196" spans="1:1" x14ac:dyDescent="0.3">
      <c r="A196">
        <v>20378150</v>
      </c>
    </row>
    <row r="197" spans="1:1" x14ac:dyDescent="0.3">
      <c r="A197">
        <v>16815678</v>
      </c>
    </row>
    <row r="198" spans="1:1" x14ac:dyDescent="0.3">
      <c r="A198">
        <v>9972287</v>
      </c>
    </row>
    <row r="199" spans="1:1" x14ac:dyDescent="0.3">
      <c r="A199">
        <v>2779163</v>
      </c>
    </row>
    <row r="200" spans="1:1" x14ac:dyDescent="0.3">
      <c r="A200">
        <v>6250370</v>
      </c>
    </row>
    <row r="201" spans="1:1" x14ac:dyDescent="0.3">
      <c r="A201">
        <v>8276914</v>
      </c>
    </row>
    <row r="202" spans="1:1" x14ac:dyDescent="0.3">
      <c r="A202">
        <v>5683434</v>
      </c>
    </row>
    <row r="203" spans="1:1" x14ac:dyDescent="0.3">
      <c r="A203">
        <v>8287403</v>
      </c>
    </row>
    <row r="204" spans="1:1" x14ac:dyDescent="0.3">
      <c r="A204">
        <v>19876203</v>
      </c>
    </row>
    <row r="205" spans="1:1" x14ac:dyDescent="0.3">
      <c r="A205">
        <v>3902437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26" width="22.6640625" customWidth="1"/>
  </cols>
  <sheetData>
    <row r="1" spans="1:5" ht="31.2" x14ac:dyDescent="0.6">
      <c r="A1" s="1" t="s">
        <v>148</v>
      </c>
    </row>
    <row r="5" spans="1:5" x14ac:dyDescent="0.3">
      <c r="A5" t="s">
        <v>149</v>
      </c>
      <c r="B5" t="s">
        <v>150</v>
      </c>
      <c r="D5" s="6" t="s">
        <v>151</v>
      </c>
    </row>
    <row r="6" spans="1:5" x14ac:dyDescent="0.3">
      <c r="A6">
        <v>0</v>
      </c>
      <c r="B6">
        <v>1</v>
      </c>
    </row>
    <row r="7" spans="1:5" x14ac:dyDescent="0.3">
      <c r="A7">
        <v>0</v>
      </c>
      <c r="B7">
        <v>0</v>
      </c>
      <c r="D7" s="7" t="s">
        <v>152</v>
      </c>
    </row>
    <row r="8" spans="1:5" ht="28.8" x14ac:dyDescent="0.3">
      <c r="A8">
        <v>0</v>
      </c>
      <c r="B8">
        <v>0</v>
      </c>
      <c r="D8" s="7" t="s">
        <v>153</v>
      </c>
    </row>
    <row r="9" spans="1:5" x14ac:dyDescent="0.3">
      <c r="A9">
        <v>0</v>
      </c>
      <c r="B9">
        <v>0</v>
      </c>
      <c r="D9" s="7" t="s">
        <v>154</v>
      </c>
    </row>
    <row r="10" spans="1:5" ht="28.8" x14ac:dyDescent="0.3">
      <c r="A10">
        <v>0</v>
      </c>
      <c r="B10">
        <v>0</v>
      </c>
      <c r="D10" s="7" t="s">
        <v>155</v>
      </c>
    </row>
    <row r="11" spans="1:5" ht="28.8" x14ac:dyDescent="0.3">
      <c r="A11">
        <v>0</v>
      </c>
      <c r="B11">
        <v>0</v>
      </c>
      <c r="D11" s="7" t="s">
        <v>156</v>
      </c>
    </row>
    <row r="12" spans="1:5" x14ac:dyDescent="0.3">
      <c r="A12">
        <v>0</v>
      </c>
      <c r="B12">
        <v>1</v>
      </c>
      <c r="D12" s="7" t="s">
        <v>157</v>
      </c>
    </row>
    <row r="13" spans="1:5" x14ac:dyDescent="0.3">
      <c r="A13">
        <v>0</v>
      </c>
      <c r="B13">
        <v>0</v>
      </c>
    </row>
    <row r="14" spans="1:5" x14ac:dyDescent="0.3">
      <c r="A14">
        <v>0</v>
      </c>
      <c r="B14">
        <v>0</v>
      </c>
      <c r="D14" s="8" t="s">
        <v>158</v>
      </c>
    </row>
    <row r="15" spans="1:5" x14ac:dyDescent="0.3">
      <c r="A15">
        <v>0</v>
      </c>
      <c r="B15">
        <v>0</v>
      </c>
    </row>
    <row r="16" spans="1:5" x14ac:dyDescent="0.3">
      <c r="A16">
        <v>0</v>
      </c>
      <c r="B16">
        <v>1</v>
      </c>
      <c r="D16" s="3" t="s">
        <v>159</v>
      </c>
      <c r="E16" s="4" t="e">
        <f ca="1">_xludf.T.TEST(A6:A155,B6:B155,2,3)</f>
        <v>#NAME?</v>
      </c>
    </row>
    <row r="17" spans="1:5" x14ac:dyDescent="0.3">
      <c r="A17">
        <v>0</v>
      </c>
      <c r="B17">
        <v>0</v>
      </c>
      <c r="D17" s="3" t="s">
        <v>160</v>
      </c>
      <c r="E17" s="4">
        <f>AVERAGE(A6:A155)</f>
        <v>0.10666666666666667</v>
      </c>
    </row>
    <row r="18" spans="1:5" x14ac:dyDescent="0.3">
      <c r="A18">
        <v>0</v>
      </c>
      <c r="B18">
        <v>0</v>
      </c>
      <c r="D18" s="3" t="s">
        <v>161</v>
      </c>
      <c r="E18" s="4">
        <f>AVERAGE(B6:B155)</f>
        <v>0.10666666666666667</v>
      </c>
    </row>
    <row r="19" spans="1:5" x14ac:dyDescent="0.3">
      <c r="A19">
        <v>1</v>
      </c>
      <c r="B19">
        <v>0</v>
      </c>
      <c r="D19" s="3" t="s">
        <v>162</v>
      </c>
      <c r="E19" s="4">
        <f>COUNT(A6:A155)</f>
        <v>150</v>
      </c>
    </row>
    <row r="20" spans="1:5" x14ac:dyDescent="0.3">
      <c r="A20">
        <v>0</v>
      </c>
      <c r="B20">
        <v>0</v>
      </c>
    </row>
    <row r="21" spans="1:5" x14ac:dyDescent="0.3">
      <c r="A21">
        <v>0</v>
      </c>
      <c r="B21">
        <v>0</v>
      </c>
    </row>
    <row r="22" spans="1:5" x14ac:dyDescent="0.3">
      <c r="A22">
        <v>0</v>
      </c>
      <c r="B22">
        <v>1</v>
      </c>
    </row>
    <row r="23" spans="1:5" x14ac:dyDescent="0.3">
      <c r="A23">
        <v>0</v>
      </c>
      <c r="B23">
        <v>0</v>
      </c>
    </row>
    <row r="24" spans="1:5" x14ac:dyDescent="0.3">
      <c r="A24">
        <v>0</v>
      </c>
      <c r="B24">
        <v>0</v>
      </c>
    </row>
    <row r="25" spans="1:5" x14ac:dyDescent="0.3">
      <c r="A25">
        <v>0</v>
      </c>
      <c r="B25">
        <v>0</v>
      </c>
    </row>
    <row r="26" spans="1:5" x14ac:dyDescent="0.3">
      <c r="A26">
        <v>0</v>
      </c>
      <c r="B26">
        <v>0</v>
      </c>
    </row>
    <row r="27" spans="1:5" x14ac:dyDescent="0.3">
      <c r="A27">
        <v>1</v>
      </c>
      <c r="B27">
        <v>0</v>
      </c>
    </row>
    <row r="28" spans="1:5" x14ac:dyDescent="0.3">
      <c r="A28">
        <v>0</v>
      </c>
      <c r="B28">
        <v>0</v>
      </c>
    </row>
    <row r="29" spans="1:5" x14ac:dyDescent="0.3">
      <c r="A29">
        <v>0</v>
      </c>
      <c r="B29">
        <v>0</v>
      </c>
    </row>
    <row r="30" spans="1:5" x14ac:dyDescent="0.3">
      <c r="A30">
        <v>0</v>
      </c>
      <c r="B30">
        <v>0</v>
      </c>
    </row>
    <row r="31" spans="1:5" x14ac:dyDescent="0.3">
      <c r="A31">
        <v>0</v>
      </c>
      <c r="B31">
        <v>0</v>
      </c>
    </row>
    <row r="32" spans="1:5" x14ac:dyDescent="0.3">
      <c r="A32">
        <v>0</v>
      </c>
      <c r="B32">
        <v>0</v>
      </c>
    </row>
    <row r="33" spans="1:2" x14ac:dyDescent="0.3">
      <c r="A33">
        <v>0</v>
      </c>
      <c r="B33">
        <v>0</v>
      </c>
    </row>
    <row r="34" spans="1:2" x14ac:dyDescent="0.3">
      <c r="A34">
        <v>0</v>
      </c>
      <c r="B34">
        <v>0</v>
      </c>
    </row>
    <row r="35" spans="1:2" x14ac:dyDescent="0.3">
      <c r="A35">
        <v>0</v>
      </c>
      <c r="B35">
        <v>0</v>
      </c>
    </row>
    <row r="36" spans="1:2" x14ac:dyDescent="0.3">
      <c r="A36">
        <v>0</v>
      </c>
      <c r="B36">
        <v>0</v>
      </c>
    </row>
    <row r="37" spans="1:2" x14ac:dyDescent="0.3">
      <c r="A37">
        <v>0</v>
      </c>
      <c r="B37">
        <v>1</v>
      </c>
    </row>
    <row r="38" spans="1:2" x14ac:dyDescent="0.3">
      <c r="A38">
        <v>0</v>
      </c>
      <c r="B38">
        <v>0</v>
      </c>
    </row>
    <row r="39" spans="1:2" x14ac:dyDescent="0.3">
      <c r="A39">
        <v>0</v>
      </c>
      <c r="B39">
        <v>0</v>
      </c>
    </row>
    <row r="40" spans="1:2" x14ac:dyDescent="0.3">
      <c r="A40">
        <v>0</v>
      </c>
      <c r="B40">
        <v>0</v>
      </c>
    </row>
    <row r="41" spans="1:2" x14ac:dyDescent="0.3">
      <c r="A41">
        <v>1</v>
      </c>
      <c r="B41">
        <v>0</v>
      </c>
    </row>
    <row r="42" spans="1:2" x14ac:dyDescent="0.3">
      <c r="A42">
        <v>0</v>
      </c>
      <c r="B42">
        <v>0</v>
      </c>
    </row>
    <row r="43" spans="1:2" x14ac:dyDescent="0.3">
      <c r="A43">
        <v>0</v>
      </c>
      <c r="B43">
        <v>1</v>
      </c>
    </row>
    <row r="44" spans="1:2" x14ac:dyDescent="0.3">
      <c r="A44">
        <v>0</v>
      </c>
      <c r="B44">
        <v>0</v>
      </c>
    </row>
    <row r="45" spans="1:2" x14ac:dyDescent="0.3">
      <c r="A45">
        <v>0</v>
      </c>
      <c r="B45">
        <v>0</v>
      </c>
    </row>
    <row r="46" spans="1:2" x14ac:dyDescent="0.3">
      <c r="A46">
        <v>0</v>
      </c>
      <c r="B46">
        <v>0</v>
      </c>
    </row>
    <row r="47" spans="1:2" x14ac:dyDescent="0.3">
      <c r="A47">
        <v>0</v>
      </c>
      <c r="B47">
        <v>0</v>
      </c>
    </row>
    <row r="48" spans="1:2" x14ac:dyDescent="0.3">
      <c r="A48">
        <v>0</v>
      </c>
      <c r="B48">
        <v>0</v>
      </c>
    </row>
    <row r="49" spans="1:2" x14ac:dyDescent="0.3">
      <c r="A49">
        <v>0</v>
      </c>
      <c r="B49">
        <v>0</v>
      </c>
    </row>
    <row r="50" spans="1:2" x14ac:dyDescent="0.3">
      <c r="A50">
        <v>0</v>
      </c>
      <c r="B50">
        <v>0</v>
      </c>
    </row>
    <row r="51" spans="1:2" x14ac:dyDescent="0.3">
      <c r="A51">
        <v>0</v>
      </c>
      <c r="B51">
        <v>1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0</v>
      </c>
      <c r="B54">
        <v>0</v>
      </c>
    </row>
    <row r="55" spans="1:2" x14ac:dyDescent="0.3">
      <c r="A55">
        <v>0</v>
      </c>
      <c r="B55">
        <v>0</v>
      </c>
    </row>
    <row r="56" spans="1:2" x14ac:dyDescent="0.3">
      <c r="A56">
        <v>0</v>
      </c>
      <c r="B56">
        <v>0</v>
      </c>
    </row>
    <row r="57" spans="1:2" x14ac:dyDescent="0.3">
      <c r="A57">
        <v>1</v>
      </c>
      <c r="B57">
        <v>0</v>
      </c>
    </row>
    <row r="58" spans="1:2" x14ac:dyDescent="0.3">
      <c r="A58">
        <v>0</v>
      </c>
      <c r="B58">
        <v>0</v>
      </c>
    </row>
    <row r="59" spans="1:2" x14ac:dyDescent="0.3">
      <c r="A59">
        <v>0</v>
      </c>
      <c r="B59">
        <v>0</v>
      </c>
    </row>
    <row r="60" spans="1:2" x14ac:dyDescent="0.3">
      <c r="A60">
        <v>0</v>
      </c>
      <c r="B60">
        <v>0</v>
      </c>
    </row>
    <row r="61" spans="1:2" x14ac:dyDescent="0.3">
      <c r="A61">
        <v>0</v>
      </c>
      <c r="B61">
        <v>0</v>
      </c>
    </row>
    <row r="62" spans="1:2" x14ac:dyDescent="0.3">
      <c r="A62">
        <v>0</v>
      </c>
      <c r="B62">
        <v>0</v>
      </c>
    </row>
    <row r="63" spans="1:2" x14ac:dyDescent="0.3">
      <c r="A63">
        <v>0</v>
      </c>
      <c r="B63">
        <v>0</v>
      </c>
    </row>
    <row r="64" spans="1:2" x14ac:dyDescent="0.3">
      <c r="A64">
        <v>0</v>
      </c>
      <c r="B64">
        <v>0</v>
      </c>
    </row>
    <row r="65" spans="1:2" x14ac:dyDescent="0.3">
      <c r="A65">
        <v>0</v>
      </c>
      <c r="B65">
        <v>0</v>
      </c>
    </row>
    <row r="66" spans="1:2" x14ac:dyDescent="0.3">
      <c r="A66">
        <v>1</v>
      </c>
      <c r="B66">
        <v>0</v>
      </c>
    </row>
    <row r="67" spans="1:2" x14ac:dyDescent="0.3">
      <c r="A67">
        <v>0</v>
      </c>
      <c r="B67">
        <v>0</v>
      </c>
    </row>
    <row r="68" spans="1:2" x14ac:dyDescent="0.3">
      <c r="A68">
        <v>0</v>
      </c>
      <c r="B68">
        <v>0</v>
      </c>
    </row>
    <row r="69" spans="1:2" x14ac:dyDescent="0.3">
      <c r="A69">
        <v>0</v>
      </c>
      <c r="B69">
        <v>0</v>
      </c>
    </row>
    <row r="70" spans="1:2" x14ac:dyDescent="0.3">
      <c r="A70">
        <v>0</v>
      </c>
      <c r="B70">
        <v>0</v>
      </c>
    </row>
    <row r="71" spans="1:2" x14ac:dyDescent="0.3">
      <c r="A71">
        <v>0</v>
      </c>
      <c r="B71">
        <v>0</v>
      </c>
    </row>
    <row r="72" spans="1:2" x14ac:dyDescent="0.3">
      <c r="A72">
        <v>0</v>
      </c>
      <c r="B72">
        <v>0</v>
      </c>
    </row>
    <row r="73" spans="1:2" x14ac:dyDescent="0.3">
      <c r="A73">
        <v>1</v>
      </c>
      <c r="B73">
        <v>0</v>
      </c>
    </row>
    <row r="74" spans="1:2" x14ac:dyDescent="0.3">
      <c r="A74">
        <v>0</v>
      </c>
      <c r="B74">
        <v>1</v>
      </c>
    </row>
    <row r="75" spans="1:2" x14ac:dyDescent="0.3">
      <c r="A75">
        <v>0</v>
      </c>
      <c r="B75">
        <v>0</v>
      </c>
    </row>
    <row r="76" spans="1:2" x14ac:dyDescent="0.3">
      <c r="A76">
        <v>1</v>
      </c>
      <c r="B76">
        <v>0</v>
      </c>
    </row>
    <row r="77" spans="1:2" x14ac:dyDescent="0.3">
      <c r="A77">
        <v>0</v>
      </c>
      <c r="B77">
        <v>0</v>
      </c>
    </row>
    <row r="78" spans="1:2" x14ac:dyDescent="0.3">
      <c r="A78">
        <v>0</v>
      </c>
      <c r="B78">
        <v>0</v>
      </c>
    </row>
    <row r="79" spans="1:2" x14ac:dyDescent="0.3">
      <c r="A79">
        <v>0</v>
      </c>
      <c r="B79">
        <v>0</v>
      </c>
    </row>
    <row r="80" spans="1:2" x14ac:dyDescent="0.3">
      <c r="A80">
        <v>0</v>
      </c>
      <c r="B80">
        <v>0</v>
      </c>
    </row>
    <row r="81" spans="1:2" x14ac:dyDescent="0.3">
      <c r="A81">
        <v>0</v>
      </c>
      <c r="B81">
        <v>0</v>
      </c>
    </row>
    <row r="82" spans="1:2" x14ac:dyDescent="0.3">
      <c r="A82">
        <v>0</v>
      </c>
      <c r="B82">
        <v>0</v>
      </c>
    </row>
    <row r="83" spans="1:2" x14ac:dyDescent="0.3">
      <c r="A83">
        <v>0</v>
      </c>
      <c r="B83">
        <v>0</v>
      </c>
    </row>
    <row r="84" spans="1:2" x14ac:dyDescent="0.3">
      <c r="A84">
        <v>0</v>
      </c>
      <c r="B84">
        <v>1</v>
      </c>
    </row>
    <row r="85" spans="1:2" x14ac:dyDescent="0.3">
      <c r="A85">
        <v>1</v>
      </c>
      <c r="B85">
        <v>0</v>
      </c>
    </row>
    <row r="86" spans="1:2" x14ac:dyDescent="0.3">
      <c r="A86">
        <v>0</v>
      </c>
      <c r="B86">
        <v>0</v>
      </c>
    </row>
    <row r="87" spans="1:2" x14ac:dyDescent="0.3">
      <c r="A87">
        <v>1</v>
      </c>
      <c r="B87">
        <v>0</v>
      </c>
    </row>
    <row r="88" spans="1:2" x14ac:dyDescent="0.3">
      <c r="A88">
        <v>0</v>
      </c>
      <c r="B88">
        <v>0</v>
      </c>
    </row>
    <row r="89" spans="1:2" x14ac:dyDescent="0.3">
      <c r="A89">
        <v>0</v>
      </c>
      <c r="B89">
        <v>0</v>
      </c>
    </row>
    <row r="90" spans="1:2" x14ac:dyDescent="0.3">
      <c r="A90">
        <v>0</v>
      </c>
      <c r="B90">
        <v>0</v>
      </c>
    </row>
    <row r="91" spans="1:2" x14ac:dyDescent="0.3">
      <c r="A91">
        <v>0</v>
      </c>
      <c r="B91">
        <v>0</v>
      </c>
    </row>
    <row r="92" spans="1:2" x14ac:dyDescent="0.3">
      <c r="A92">
        <v>0</v>
      </c>
      <c r="B92">
        <v>0</v>
      </c>
    </row>
    <row r="93" spans="1:2" x14ac:dyDescent="0.3">
      <c r="A93">
        <v>0</v>
      </c>
      <c r="B93">
        <v>0</v>
      </c>
    </row>
    <row r="94" spans="1:2" x14ac:dyDescent="0.3">
      <c r="A94">
        <v>0</v>
      </c>
      <c r="B94">
        <v>0</v>
      </c>
    </row>
    <row r="95" spans="1:2" x14ac:dyDescent="0.3">
      <c r="A95">
        <v>0</v>
      </c>
      <c r="B95">
        <v>0</v>
      </c>
    </row>
    <row r="96" spans="1:2" x14ac:dyDescent="0.3">
      <c r="A96">
        <v>1</v>
      </c>
      <c r="B96">
        <v>0</v>
      </c>
    </row>
    <row r="97" spans="1:2" x14ac:dyDescent="0.3">
      <c r="A97">
        <v>0</v>
      </c>
      <c r="B97">
        <v>1</v>
      </c>
    </row>
    <row r="98" spans="1:2" x14ac:dyDescent="0.3">
      <c r="A98">
        <v>0</v>
      </c>
      <c r="B98">
        <v>0</v>
      </c>
    </row>
    <row r="99" spans="1:2" x14ac:dyDescent="0.3">
      <c r="A99">
        <v>0</v>
      </c>
      <c r="B99">
        <v>0</v>
      </c>
    </row>
    <row r="100" spans="1:2" x14ac:dyDescent="0.3">
      <c r="A100">
        <v>0</v>
      </c>
      <c r="B100">
        <v>0</v>
      </c>
    </row>
    <row r="101" spans="1:2" x14ac:dyDescent="0.3">
      <c r="A101">
        <v>0</v>
      </c>
      <c r="B101">
        <v>0</v>
      </c>
    </row>
    <row r="102" spans="1:2" x14ac:dyDescent="0.3">
      <c r="A102">
        <v>0</v>
      </c>
      <c r="B102">
        <v>1</v>
      </c>
    </row>
    <row r="103" spans="1:2" x14ac:dyDescent="0.3">
      <c r="A103">
        <v>1</v>
      </c>
      <c r="B103">
        <v>0</v>
      </c>
    </row>
    <row r="104" spans="1:2" x14ac:dyDescent="0.3">
      <c r="A104">
        <v>0</v>
      </c>
      <c r="B104">
        <v>0</v>
      </c>
    </row>
    <row r="105" spans="1:2" x14ac:dyDescent="0.3">
      <c r="A105">
        <v>1</v>
      </c>
      <c r="B105">
        <v>0</v>
      </c>
    </row>
    <row r="106" spans="1:2" x14ac:dyDescent="0.3">
      <c r="A106">
        <v>0</v>
      </c>
      <c r="B106">
        <v>0</v>
      </c>
    </row>
    <row r="107" spans="1:2" x14ac:dyDescent="0.3">
      <c r="A107">
        <v>0</v>
      </c>
      <c r="B107">
        <v>0</v>
      </c>
    </row>
    <row r="108" spans="1:2" x14ac:dyDescent="0.3">
      <c r="A108">
        <v>0</v>
      </c>
      <c r="B108">
        <v>0</v>
      </c>
    </row>
    <row r="109" spans="1:2" x14ac:dyDescent="0.3">
      <c r="A109">
        <v>0</v>
      </c>
      <c r="B109">
        <v>0</v>
      </c>
    </row>
    <row r="110" spans="1:2" x14ac:dyDescent="0.3">
      <c r="A110">
        <v>0</v>
      </c>
      <c r="B110">
        <v>0</v>
      </c>
    </row>
    <row r="111" spans="1:2" x14ac:dyDescent="0.3">
      <c r="A111">
        <v>0</v>
      </c>
      <c r="B111">
        <v>1</v>
      </c>
    </row>
    <row r="112" spans="1:2" x14ac:dyDescent="0.3">
      <c r="A112">
        <v>0</v>
      </c>
      <c r="B112">
        <v>0</v>
      </c>
    </row>
    <row r="113" spans="1:2" x14ac:dyDescent="0.3">
      <c r="A113">
        <v>0</v>
      </c>
      <c r="B113">
        <v>0</v>
      </c>
    </row>
    <row r="114" spans="1:2" x14ac:dyDescent="0.3">
      <c r="A114">
        <v>0</v>
      </c>
      <c r="B114">
        <v>0</v>
      </c>
    </row>
    <row r="115" spans="1:2" x14ac:dyDescent="0.3">
      <c r="A115">
        <v>0</v>
      </c>
      <c r="B115">
        <v>1</v>
      </c>
    </row>
    <row r="116" spans="1:2" x14ac:dyDescent="0.3">
      <c r="A116">
        <v>0</v>
      </c>
      <c r="B116">
        <v>0</v>
      </c>
    </row>
    <row r="117" spans="1:2" x14ac:dyDescent="0.3">
      <c r="A117">
        <v>0</v>
      </c>
      <c r="B117">
        <v>0</v>
      </c>
    </row>
    <row r="118" spans="1:2" x14ac:dyDescent="0.3">
      <c r="A118">
        <v>0</v>
      </c>
      <c r="B118">
        <v>0</v>
      </c>
    </row>
    <row r="119" spans="1:2" x14ac:dyDescent="0.3">
      <c r="A119">
        <v>0</v>
      </c>
      <c r="B119">
        <v>0</v>
      </c>
    </row>
    <row r="120" spans="1:2" x14ac:dyDescent="0.3">
      <c r="A120">
        <v>0</v>
      </c>
      <c r="B120">
        <v>0</v>
      </c>
    </row>
    <row r="121" spans="1:2" x14ac:dyDescent="0.3">
      <c r="A121">
        <v>0</v>
      </c>
      <c r="B121">
        <v>0</v>
      </c>
    </row>
    <row r="122" spans="1:2" x14ac:dyDescent="0.3">
      <c r="A122">
        <v>0</v>
      </c>
      <c r="B122">
        <v>0</v>
      </c>
    </row>
    <row r="123" spans="1:2" x14ac:dyDescent="0.3">
      <c r="A123">
        <v>0</v>
      </c>
      <c r="B123">
        <v>0</v>
      </c>
    </row>
    <row r="124" spans="1:2" x14ac:dyDescent="0.3">
      <c r="A124">
        <v>0</v>
      </c>
      <c r="B124">
        <v>1</v>
      </c>
    </row>
    <row r="125" spans="1:2" x14ac:dyDescent="0.3">
      <c r="A125">
        <v>0</v>
      </c>
      <c r="B125">
        <v>0</v>
      </c>
    </row>
    <row r="126" spans="1:2" x14ac:dyDescent="0.3">
      <c r="A126">
        <v>0</v>
      </c>
      <c r="B126">
        <v>0</v>
      </c>
    </row>
    <row r="127" spans="1:2" x14ac:dyDescent="0.3">
      <c r="A127">
        <v>0</v>
      </c>
      <c r="B127">
        <v>0</v>
      </c>
    </row>
    <row r="128" spans="1:2" x14ac:dyDescent="0.3">
      <c r="A128">
        <v>1</v>
      </c>
      <c r="B128">
        <v>0</v>
      </c>
    </row>
    <row r="129" spans="1:2" x14ac:dyDescent="0.3">
      <c r="A129">
        <v>0</v>
      </c>
      <c r="B129">
        <v>0</v>
      </c>
    </row>
    <row r="130" spans="1:2" x14ac:dyDescent="0.3">
      <c r="A130">
        <v>1</v>
      </c>
      <c r="B130">
        <v>0</v>
      </c>
    </row>
    <row r="131" spans="1:2" x14ac:dyDescent="0.3">
      <c r="A131">
        <v>0</v>
      </c>
      <c r="B131">
        <v>0</v>
      </c>
    </row>
    <row r="132" spans="1:2" x14ac:dyDescent="0.3">
      <c r="A132">
        <v>0</v>
      </c>
      <c r="B132">
        <v>0</v>
      </c>
    </row>
    <row r="133" spans="1:2" x14ac:dyDescent="0.3">
      <c r="A133">
        <v>0</v>
      </c>
      <c r="B133">
        <v>0</v>
      </c>
    </row>
    <row r="134" spans="1:2" x14ac:dyDescent="0.3">
      <c r="A134">
        <v>0</v>
      </c>
      <c r="B134">
        <v>0</v>
      </c>
    </row>
    <row r="135" spans="1:2" x14ac:dyDescent="0.3">
      <c r="A135">
        <v>0</v>
      </c>
      <c r="B135">
        <v>0</v>
      </c>
    </row>
    <row r="136" spans="1:2" x14ac:dyDescent="0.3">
      <c r="A136">
        <v>0</v>
      </c>
      <c r="B136">
        <v>0</v>
      </c>
    </row>
    <row r="137" spans="1:2" x14ac:dyDescent="0.3">
      <c r="A137">
        <v>0</v>
      </c>
      <c r="B137">
        <v>0</v>
      </c>
    </row>
    <row r="138" spans="1:2" x14ac:dyDescent="0.3">
      <c r="A138">
        <v>0</v>
      </c>
      <c r="B138">
        <v>1</v>
      </c>
    </row>
    <row r="139" spans="1:2" x14ac:dyDescent="0.3">
      <c r="A139">
        <v>0</v>
      </c>
      <c r="B139">
        <v>1</v>
      </c>
    </row>
    <row r="140" spans="1:2" x14ac:dyDescent="0.3">
      <c r="A140">
        <v>0</v>
      </c>
      <c r="B140">
        <v>0</v>
      </c>
    </row>
    <row r="141" spans="1:2" x14ac:dyDescent="0.3">
      <c r="A141">
        <v>0</v>
      </c>
      <c r="B141">
        <v>0</v>
      </c>
    </row>
    <row r="142" spans="1:2" x14ac:dyDescent="0.3">
      <c r="A142">
        <v>0</v>
      </c>
      <c r="B142">
        <v>0</v>
      </c>
    </row>
    <row r="143" spans="1:2" x14ac:dyDescent="0.3">
      <c r="A143">
        <v>0</v>
      </c>
      <c r="B143">
        <v>0</v>
      </c>
    </row>
    <row r="144" spans="1:2" x14ac:dyDescent="0.3">
      <c r="A144">
        <v>1</v>
      </c>
      <c r="B144">
        <v>0</v>
      </c>
    </row>
    <row r="145" spans="1:2" x14ac:dyDescent="0.3">
      <c r="A145">
        <v>0</v>
      </c>
      <c r="B145">
        <v>0</v>
      </c>
    </row>
    <row r="146" spans="1:2" x14ac:dyDescent="0.3">
      <c r="A146">
        <v>1</v>
      </c>
      <c r="B146">
        <v>0</v>
      </c>
    </row>
    <row r="147" spans="1:2" x14ac:dyDescent="0.3">
      <c r="A147">
        <v>0</v>
      </c>
      <c r="B147">
        <v>0</v>
      </c>
    </row>
    <row r="148" spans="1:2" x14ac:dyDescent="0.3">
      <c r="A148">
        <v>0</v>
      </c>
      <c r="B148">
        <v>0</v>
      </c>
    </row>
    <row r="149" spans="1:2" x14ac:dyDescent="0.3">
      <c r="A149">
        <v>0</v>
      </c>
      <c r="B149">
        <v>0</v>
      </c>
    </row>
    <row r="150" spans="1:2" x14ac:dyDescent="0.3">
      <c r="A150">
        <v>0</v>
      </c>
      <c r="B150">
        <v>0</v>
      </c>
    </row>
    <row r="151" spans="1:2" x14ac:dyDescent="0.3">
      <c r="A151">
        <v>0</v>
      </c>
      <c r="B151">
        <v>0</v>
      </c>
    </row>
    <row r="152" spans="1:2" x14ac:dyDescent="0.3">
      <c r="A152">
        <v>0</v>
      </c>
      <c r="B152">
        <v>0</v>
      </c>
    </row>
    <row r="153" spans="1:2" x14ac:dyDescent="0.3">
      <c r="A153">
        <v>0</v>
      </c>
      <c r="B153">
        <v>0</v>
      </c>
    </row>
    <row r="154" spans="1:2" x14ac:dyDescent="0.3">
      <c r="A154">
        <v>0</v>
      </c>
      <c r="B154">
        <v>0</v>
      </c>
    </row>
    <row r="155" spans="1:2" x14ac:dyDescent="0.3">
      <c r="A155">
        <v>0</v>
      </c>
      <c r="B15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26" width="22.6640625" customWidth="1"/>
  </cols>
  <sheetData>
    <row r="1" spans="1:5" ht="31.2" x14ac:dyDescent="0.6">
      <c r="A1" s="1" t="s">
        <v>163</v>
      </c>
    </row>
    <row r="5" spans="1:5" x14ac:dyDescent="0.3">
      <c r="A5" t="s">
        <v>164</v>
      </c>
      <c r="D5" s="6" t="s">
        <v>165</v>
      </c>
    </row>
    <row r="6" spans="1:5" x14ac:dyDescent="0.3">
      <c r="A6">
        <v>1.5245429790117559E-2</v>
      </c>
    </row>
    <row r="7" spans="1:5" x14ac:dyDescent="0.3">
      <c r="A7">
        <v>3.40451266868426E-3</v>
      </c>
      <c r="D7" s="7" t="s">
        <v>166</v>
      </c>
    </row>
    <row r="8" spans="1:5" x14ac:dyDescent="0.3">
      <c r="A8">
        <v>-1.3443626158539451E-2</v>
      </c>
      <c r="D8" s="7" t="s">
        <v>167</v>
      </c>
    </row>
    <row r="9" spans="1:5" ht="28.8" x14ac:dyDescent="0.3">
      <c r="A9">
        <v>5.3584252626005462E-2</v>
      </c>
      <c r="D9" s="7" t="s">
        <v>168</v>
      </c>
    </row>
    <row r="10" spans="1:5" x14ac:dyDescent="0.3">
      <c r="A10">
        <v>1.92474922792574E-2</v>
      </c>
      <c r="D10" s="7" t="s">
        <v>169</v>
      </c>
    </row>
    <row r="11" spans="1:5" ht="28.8" x14ac:dyDescent="0.3">
      <c r="A11">
        <v>-3.0954238395468171E-2</v>
      </c>
      <c r="D11" s="7" t="s">
        <v>170</v>
      </c>
    </row>
    <row r="12" spans="1:5" ht="28.8" x14ac:dyDescent="0.3">
      <c r="A12">
        <v>-9.3251203187425385E-3</v>
      </c>
      <c r="D12" s="7" t="s">
        <v>171</v>
      </c>
    </row>
    <row r="13" spans="1:5" x14ac:dyDescent="0.3">
      <c r="A13">
        <v>1.9635521948174112E-2</v>
      </c>
    </row>
    <row r="14" spans="1:5" x14ac:dyDescent="0.3">
      <c r="A14">
        <v>-1.499077842465368E-2</v>
      </c>
      <c r="D14" s="8" t="s">
        <v>172</v>
      </c>
    </row>
    <row r="15" spans="1:5" x14ac:dyDescent="0.3">
      <c r="A15">
        <v>8.0309591765177768E-3</v>
      </c>
    </row>
    <row r="16" spans="1:5" x14ac:dyDescent="0.3">
      <c r="A16">
        <v>2.0015926006722959E-2</v>
      </c>
      <c r="D16" s="3" t="s">
        <v>144</v>
      </c>
      <c r="E16" s="4">
        <f>STDEV(A6:A255)</f>
        <v>1.9833538835620026E-2</v>
      </c>
    </row>
    <row r="17" spans="1:5" x14ac:dyDescent="0.3">
      <c r="A17">
        <v>-6.6768561653127861E-2</v>
      </c>
      <c r="D17" s="3" t="s">
        <v>73</v>
      </c>
      <c r="E17" s="4">
        <f>AVERAGE(A6:A255)</f>
        <v>6.1187715934886313E-4</v>
      </c>
    </row>
    <row r="18" spans="1:5" x14ac:dyDescent="0.3">
      <c r="A18">
        <v>-1.160753995785007E-3</v>
      </c>
      <c r="D18" s="3" t="s">
        <v>173</v>
      </c>
      <c r="E18" s="4" t="e">
        <f ca="1">_xludf.NORM.DIST(0,AVERAGE(A6:A255),STDEV(A6:A255),TRUE)</f>
        <v>#NAME?</v>
      </c>
    </row>
    <row r="19" spans="1:5" x14ac:dyDescent="0.3">
      <c r="A19">
        <v>-3.758169286975632E-4</v>
      </c>
      <c r="D19" s="3" t="s">
        <v>174</v>
      </c>
      <c r="E19" s="4" t="e">
        <f ca="1">_xludf.NORM.INV(0.05,AVERAGE(A6:A255),STDEV(A6:A255))</f>
        <v>#NAME?</v>
      </c>
    </row>
    <row r="20" spans="1:5" x14ac:dyDescent="0.3">
      <c r="A20">
        <v>-7.2414491136757924E-3</v>
      </c>
    </row>
    <row r="21" spans="1:5" x14ac:dyDescent="0.3">
      <c r="A21">
        <v>7.0339026989208178E-3</v>
      </c>
    </row>
    <row r="22" spans="1:5" x14ac:dyDescent="0.3">
      <c r="A22">
        <v>1.4150392149917489E-2</v>
      </c>
    </row>
    <row r="23" spans="1:5" x14ac:dyDescent="0.3">
      <c r="A23">
        <v>3.8410188864921842E-3</v>
      </c>
    </row>
    <row r="24" spans="1:5" x14ac:dyDescent="0.3">
      <c r="A24">
        <v>-6.4765478809886432E-3</v>
      </c>
    </row>
    <row r="25" spans="1:5" x14ac:dyDescent="0.3">
      <c r="A25">
        <v>1.3652425995685389E-2</v>
      </c>
    </row>
    <row r="26" spans="1:5" x14ac:dyDescent="0.3">
      <c r="A26">
        <v>1.9810681854871412E-3</v>
      </c>
    </row>
    <row r="27" spans="1:5" x14ac:dyDescent="0.3">
      <c r="A27">
        <v>-3.6140082639095641E-3</v>
      </c>
    </row>
    <row r="28" spans="1:5" x14ac:dyDescent="0.3">
      <c r="A28">
        <v>-2.5245587706778379E-2</v>
      </c>
    </row>
    <row r="29" spans="1:5" x14ac:dyDescent="0.3">
      <c r="A29">
        <v>-3.0253095705321569E-2</v>
      </c>
    </row>
    <row r="30" spans="1:5" x14ac:dyDescent="0.3">
      <c r="A30">
        <v>-2.562459585428141E-2</v>
      </c>
    </row>
    <row r="31" spans="1:5" x14ac:dyDescent="0.3">
      <c r="A31">
        <v>6.5665812244042982E-3</v>
      </c>
    </row>
    <row r="32" spans="1:5" x14ac:dyDescent="0.3">
      <c r="A32">
        <v>-5.8157495212703332E-4</v>
      </c>
    </row>
    <row r="33" spans="1:1" x14ac:dyDescent="0.3">
      <c r="A33">
        <v>-2.8605681964149261E-2</v>
      </c>
    </row>
    <row r="34" spans="1:1" x14ac:dyDescent="0.3">
      <c r="A34">
        <v>1.391835651587622E-2</v>
      </c>
    </row>
    <row r="35" spans="1:1" x14ac:dyDescent="0.3">
      <c r="A35">
        <v>2.8486190263581901E-2</v>
      </c>
    </row>
    <row r="36" spans="1:1" x14ac:dyDescent="0.3">
      <c r="A36">
        <v>-1.0969872334326719E-2</v>
      </c>
    </row>
    <row r="37" spans="1:1" x14ac:dyDescent="0.3">
      <c r="A37">
        <v>-3.3819637147367479E-2</v>
      </c>
    </row>
    <row r="38" spans="1:1" x14ac:dyDescent="0.3">
      <c r="A38">
        <v>-1.318252769803826E-2</v>
      </c>
    </row>
    <row r="39" spans="1:1" x14ac:dyDescent="0.3">
      <c r="A39">
        <v>1.8089212535893889E-2</v>
      </c>
    </row>
    <row r="40" spans="1:1" x14ac:dyDescent="0.3">
      <c r="A40">
        <v>1.197059717069548E-2</v>
      </c>
    </row>
    <row r="41" spans="1:1" x14ac:dyDescent="0.3">
      <c r="A41">
        <v>-1.7448653720229579E-2</v>
      </c>
    </row>
    <row r="42" spans="1:1" x14ac:dyDescent="0.3">
      <c r="A42">
        <v>3.1423442755294843E-2</v>
      </c>
    </row>
    <row r="43" spans="1:1" x14ac:dyDescent="0.3">
      <c r="A43">
        <v>2.7965601318527971E-2</v>
      </c>
    </row>
    <row r="44" spans="1:1" x14ac:dyDescent="0.3">
      <c r="A44">
        <v>-1.366012126553282E-2</v>
      </c>
    </row>
    <row r="45" spans="1:1" x14ac:dyDescent="0.3">
      <c r="A45">
        <v>-1.386580005929933E-2</v>
      </c>
    </row>
    <row r="46" spans="1:1" x14ac:dyDescent="0.3">
      <c r="A46">
        <v>-1.0856558747589789E-2</v>
      </c>
    </row>
    <row r="47" spans="1:1" x14ac:dyDescent="0.3">
      <c r="A47">
        <v>-9.1466555077709191E-3</v>
      </c>
    </row>
    <row r="48" spans="1:1" x14ac:dyDescent="0.3">
      <c r="A48">
        <v>2.0010760158568879E-2</v>
      </c>
    </row>
    <row r="49" spans="1:1" x14ac:dyDescent="0.3">
      <c r="A49">
        <v>9.5065812095318815E-3</v>
      </c>
    </row>
    <row r="50" spans="1:1" x14ac:dyDescent="0.3">
      <c r="A50">
        <v>1.854157538701175E-2</v>
      </c>
    </row>
    <row r="51" spans="1:1" x14ac:dyDescent="0.3">
      <c r="A51">
        <v>1.4471302863733999E-2</v>
      </c>
    </row>
    <row r="52" spans="1:1" x14ac:dyDescent="0.3">
      <c r="A52">
        <v>3.5290541363874647E-2</v>
      </c>
    </row>
    <row r="53" spans="1:1" x14ac:dyDescent="0.3">
      <c r="A53">
        <v>-2.0187710876182811E-2</v>
      </c>
    </row>
    <row r="54" spans="1:1" x14ac:dyDescent="0.3">
      <c r="A54">
        <v>8.6071706076783251E-3</v>
      </c>
    </row>
    <row r="55" spans="1:1" x14ac:dyDescent="0.3">
      <c r="A55">
        <v>-4.2476425124693948E-2</v>
      </c>
    </row>
    <row r="56" spans="1:1" x14ac:dyDescent="0.3">
      <c r="A56">
        <v>-2.5339111481937172E-2</v>
      </c>
    </row>
    <row r="57" spans="1:1" x14ac:dyDescent="0.3">
      <c r="A57">
        <v>-4.9706771869694149E-4</v>
      </c>
    </row>
    <row r="58" spans="1:1" x14ac:dyDescent="0.3">
      <c r="A58">
        <v>9.3641322550907201E-3</v>
      </c>
    </row>
    <row r="59" spans="1:1" x14ac:dyDescent="0.3">
      <c r="A59">
        <v>-1.036314840591391E-3</v>
      </c>
    </row>
    <row r="60" spans="1:1" x14ac:dyDescent="0.3">
      <c r="A60">
        <v>-1.0343848376253569E-2</v>
      </c>
    </row>
    <row r="61" spans="1:1" x14ac:dyDescent="0.3">
      <c r="A61">
        <v>-6.7883575498607542E-3</v>
      </c>
    </row>
    <row r="62" spans="1:1" x14ac:dyDescent="0.3">
      <c r="A62">
        <v>2.8388819528482091E-2</v>
      </c>
    </row>
    <row r="63" spans="1:1" x14ac:dyDescent="0.3">
      <c r="A63">
        <v>-6.6806435576028111E-3</v>
      </c>
    </row>
    <row r="64" spans="1:1" x14ac:dyDescent="0.3">
      <c r="A64">
        <v>3.5984832440870557E-2</v>
      </c>
    </row>
    <row r="65" spans="1:1" x14ac:dyDescent="0.3">
      <c r="A65">
        <v>1.6880341470822669E-2</v>
      </c>
    </row>
    <row r="66" spans="1:1" x14ac:dyDescent="0.3">
      <c r="A66">
        <v>1.015074692296461E-2</v>
      </c>
    </row>
    <row r="67" spans="1:1" x14ac:dyDescent="0.3">
      <c r="A67">
        <v>-2.287193820641991E-2</v>
      </c>
    </row>
    <row r="68" spans="1:1" x14ac:dyDescent="0.3">
      <c r="A68">
        <v>1.9704763227992542E-2</v>
      </c>
    </row>
    <row r="69" spans="1:1" x14ac:dyDescent="0.3">
      <c r="A69">
        <v>-8.8754115549699863E-3</v>
      </c>
    </row>
    <row r="70" spans="1:1" x14ac:dyDescent="0.3">
      <c r="A70">
        <v>-2.2888795160113991E-2</v>
      </c>
    </row>
    <row r="71" spans="1:1" x14ac:dyDescent="0.3">
      <c r="A71">
        <v>1.125687226158755E-2</v>
      </c>
    </row>
    <row r="72" spans="1:1" x14ac:dyDescent="0.3">
      <c r="A72">
        <v>-2.6758921211330791E-2</v>
      </c>
    </row>
    <row r="73" spans="1:1" x14ac:dyDescent="0.3">
      <c r="A73">
        <v>-1.424482924259165E-2</v>
      </c>
    </row>
    <row r="74" spans="1:1" x14ac:dyDescent="0.3">
      <c r="A74">
        <v>7.9768177062177208E-4</v>
      </c>
    </row>
    <row r="75" spans="1:1" x14ac:dyDescent="0.3">
      <c r="A75">
        <v>4.5368428482294547E-2</v>
      </c>
    </row>
    <row r="76" spans="1:1" x14ac:dyDescent="0.3">
      <c r="A76">
        <v>-1.273831511584975E-2</v>
      </c>
    </row>
    <row r="77" spans="1:1" x14ac:dyDescent="0.3">
      <c r="A77">
        <v>-8.1643303860115084E-3</v>
      </c>
    </row>
    <row r="78" spans="1:1" x14ac:dyDescent="0.3">
      <c r="A78">
        <v>1.5646901088432901E-2</v>
      </c>
    </row>
    <row r="79" spans="1:1" x14ac:dyDescent="0.3">
      <c r="A79">
        <v>-2.3765913767520921E-2</v>
      </c>
    </row>
    <row r="80" spans="1:1" x14ac:dyDescent="0.3">
      <c r="A80">
        <v>9.8561276204183097E-3</v>
      </c>
    </row>
    <row r="81" spans="1:1" x14ac:dyDescent="0.3">
      <c r="A81">
        <v>2.5118536152331759E-2</v>
      </c>
    </row>
    <row r="82" spans="1:1" x14ac:dyDescent="0.3">
      <c r="A82">
        <v>-5.1418976942220274E-3</v>
      </c>
    </row>
    <row r="83" spans="1:1" x14ac:dyDescent="0.3">
      <c r="A83">
        <v>2.1523085627937311E-2</v>
      </c>
    </row>
    <row r="84" spans="1:1" x14ac:dyDescent="0.3">
      <c r="A84">
        <v>6.8289984642361254E-3</v>
      </c>
    </row>
    <row r="85" spans="1:1" x14ac:dyDescent="0.3">
      <c r="A85">
        <v>-1.3613639276075611E-2</v>
      </c>
    </row>
    <row r="86" spans="1:1" x14ac:dyDescent="0.3">
      <c r="A86">
        <v>-2.9560937179301272E-3</v>
      </c>
    </row>
    <row r="87" spans="1:1" x14ac:dyDescent="0.3">
      <c r="A87">
        <v>-6.5951467996048421E-3</v>
      </c>
    </row>
    <row r="88" spans="1:1" x14ac:dyDescent="0.3">
      <c r="A88">
        <v>-7.5276515632955072E-4</v>
      </c>
    </row>
    <row r="89" spans="1:1" x14ac:dyDescent="0.3">
      <c r="A89">
        <v>4.0543579843965701E-3</v>
      </c>
    </row>
    <row r="90" spans="1:1" x14ac:dyDescent="0.3">
      <c r="A90">
        <v>1.2763998699437141E-2</v>
      </c>
    </row>
    <row r="91" spans="1:1" x14ac:dyDescent="0.3">
      <c r="A91">
        <v>1.117336499174271E-2</v>
      </c>
    </row>
    <row r="92" spans="1:1" x14ac:dyDescent="0.3">
      <c r="A92">
        <v>-4.7634271425242958E-2</v>
      </c>
    </row>
    <row r="93" spans="1:1" x14ac:dyDescent="0.3">
      <c r="A93">
        <v>-9.4616377544053478E-4</v>
      </c>
    </row>
    <row r="94" spans="1:1" x14ac:dyDescent="0.3">
      <c r="A94">
        <v>-2.9188438268135251E-2</v>
      </c>
    </row>
    <row r="95" spans="1:1" x14ac:dyDescent="0.3">
      <c r="A95">
        <v>-4.5145450493465156E-3</v>
      </c>
    </row>
    <row r="96" spans="1:1" x14ac:dyDescent="0.3">
      <c r="A96">
        <v>-1.4757917562183991E-3</v>
      </c>
    </row>
    <row r="97" spans="1:1" x14ac:dyDescent="0.3">
      <c r="A97">
        <v>2.0522967161694178E-2</v>
      </c>
    </row>
    <row r="98" spans="1:1" x14ac:dyDescent="0.3">
      <c r="A98">
        <v>3.976906579980081E-4</v>
      </c>
    </row>
    <row r="99" spans="1:1" x14ac:dyDescent="0.3">
      <c r="A99">
        <v>6.1843603668652004E-3</v>
      </c>
    </row>
    <row r="100" spans="1:1" x14ac:dyDescent="0.3">
      <c r="A100">
        <v>1.6861127613148581E-2</v>
      </c>
    </row>
    <row r="101" spans="1:1" x14ac:dyDescent="0.3">
      <c r="A101">
        <v>2.5555045196386E-2</v>
      </c>
    </row>
    <row r="102" spans="1:1" x14ac:dyDescent="0.3">
      <c r="A102">
        <v>-1.4602784671382089E-3</v>
      </c>
    </row>
    <row r="103" spans="1:1" x14ac:dyDescent="0.3">
      <c r="A103">
        <v>2.8835888336081771E-3</v>
      </c>
    </row>
    <row r="104" spans="1:1" x14ac:dyDescent="0.3">
      <c r="A104">
        <v>1.2004660448450739E-3</v>
      </c>
    </row>
    <row r="105" spans="1:1" x14ac:dyDescent="0.3">
      <c r="A105">
        <v>-9.8519792886215263E-3</v>
      </c>
    </row>
    <row r="106" spans="1:1" x14ac:dyDescent="0.3">
      <c r="A106">
        <v>-1.4382304468847799E-2</v>
      </c>
    </row>
    <row r="107" spans="1:1" x14ac:dyDescent="0.3">
      <c r="A107">
        <v>-4.4437718328518713E-2</v>
      </c>
    </row>
    <row r="108" spans="1:1" x14ac:dyDescent="0.3">
      <c r="A108">
        <v>-2.053321869048659E-2</v>
      </c>
    </row>
    <row r="109" spans="1:1" x14ac:dyDescent="0.3">
      <c r="A109">
        <v>-3.4572616664196067E-2</v>
      </c>
    </row>
    <row r="110" spans="1:1" x14ac:dyDescent="0.3">
      <c r="A110">
        <v>2.6103969689065049E-2</v>
      </c>
    </row>
    <row r="111" spans="1:1" x14ac:dyDescent="0.3">
      <c r="A111">
        <v>4.7683201659485678E-3</v>
      </c>
    </row>
    <row r="112" spans="1:1" x14ac:dyDescent="0.3">
      <c r="A112">
        <v>-1.518779458936673E-3</v>
      </c>
    </row>
    <row r="113" spans="1:1" x14ac:dyDescent="0.3">
      <c r="A113">
        <v>-1.334970372162163E-2</v>
      </c>
    </row>
    <row r="114" spans="1:1" x14ac:dyDescent="0.3">
      <c r="A114">
        <v>1.5955852646924781E-3</v>
      </c>
    </row>
    <row r="115" spans="1:1" x14ac:dyDescent="0.3">
      <c r="A115">
        <v>-1.5959597553106681E-2</v>
      </c>
    </row>
    <row r="116" spans="1:1" x14ac:dyDescent="0.3">
      <c r="A116">
        <v>4.480371132412073E-3</v>
      </c>
    </row>
    <row r="117" spans="1:1" x14ac:dyDescent="0.3">
      <c r="A117">
        <v>5.914679658427068E-3</v>
      </c>
    </row>
    <row r="118" spans="1:1" x14ac:dyDescent="0.3">
      <c r="A118">
        <v>-1.622767404713487E-2</v>
      </c>
    </row>
    <row r="119" spans="1:1" x14ac:dyDescent="0.3">
      <c r="A119">
        <v>-1.6609239296448121E-2</v>
      </c>
    </row>
    <row r="120" spans="1:1" x14ac:dyDescent="0.3">
      <c r="A120">
        <v>2.0243987091902348E-2</v>
      </c>
    </row>
    <row r="121" spans="1:1" x14ac:dyDescent="0.3">
      <c r="A121">
        <v>-5.7199085826006213E-5</v>
      </c>
    </row>
    <row r="122" spans="1:1" x14ac:dyDescent="0.3">
      <c r="A122">
        <v>-1.462040858529782E-2</v>
      </c>
    </row>
    <row r="123" spans="1:1" x14ac:dyDescent="0.3">
      <c r="A123">
        <v>-6.4101260337903806E-3</v>
      </c>
    </row>
    <row r="124" spans="1:1" x14ac:dyDescent="0.3">
      <c r="A124">
        <v>-1.9211881734132141E-2</v>
      </c>
    </row>
    <row r="125" spans="1:1" x14ac:dyDescent="0.3">
      <c r="A125">
        <v>-3.4367161323833781E-4</v>
      </c>
    </row>
    <row r="126" spans="1:1" x14ac:dyDescent="0.3">
      <c r="A126">
        <v>1.763256615328937E-2</v>
      </c>
    </row>
    <row r="127" spans="1:1" x14ac:dyDescent="0.3">
      <c r="A127">
        <v>4.4658664811477231E-4</v>
      </c>
    </row>
    <row r="128" spans="1:1" x14ac:dyDescent="0.3">
      <c r="A128">
        <v>4.8272668873507688E-2</v>
      </c>
    </row>
    <row r="129" spans="1:1" x14ac:dyDescent="0.3">
      <c r="A129">
        <v>9.427191360980032E-3</v>
      </c>
    </row>
    <row r="130" spans="1:1" x14ac:dyDescent="0.3">
      <c r="A130">
        <v>5.5990889568442474E-3</v>
      </c>
    </row>
    <row r="131" spans="1:1" x14ac:dyDescent="0.3">
      <c r="A131">
        <v>-1.7166042619316119E-2</v>
      </c>
    </row>
    <row r="132" spans="1:1" x14ac:dyDescent="0.3">
      <c r="A132">
        <v>-3.7706689368533358E-3</v>
      </c>
    </row>
    <row r="133" spans="1:1" x14ac:dyDescent="0.3">
      <c r="A133">
        <v>-1.4580276860673839E-2</v>
      </c>
    </row>
    <row r="134" spans="1:1" x14ac:dyDescent="0.3">
      <c r="A134">
        <v>-4.2312904568082482E-2</v>
      </c>
    </row>
    <row r="135" spans="1:1" x14ac:dyDescent="0.3">
      <c r="A135">
        <v>2.0485244442576149E-2</v>
      </c>
    </row>
    <row r="136" spans="1:1" x14ac:dyDescent="0.3">
      <c r="A136">
        <v>-9.2290111110046209E-3</v>
      </c>
    </row>
    <row r="137" spans="1:1" x14ac:dyDescent="0.3">
      <c r="A137">
        <v>-1.420800148666612E-2</v>
      </c>
    </row>
    <row r="138" spans="1:1" x14ac:dyDescent="0.3">
      <c r="A138">
        <v>5.2114006791692969E-3</v>
      </c>
    </row>
    <row r="139" spans="1:1" x14ac:dyDescent="0.3">
      <c r="A139">
        <v>1.124999104443034E-2</v>
      </c>
    </row>
    <row r="140" spans="1:1" x14ac:dyDescent="0.3">
      <c r="A140">
        <v>-5.4154966581255754E-3</v>
      </c>
    </row>
    <row r="141" spans="1:1" x14ac:dyDescent="0.3">
      <c r="A141">
        <v>9.4796664781963275E-4</v>
      </c>
    </row>
    <row r="142" spans="1:1" x14ac:dyDescent="0.3">
      <c r="A142">
        <v>1.592374814628806E-2</v>
      </c>
    </row>
    <row r="143" spans="1:1" x14ac:dyDescent="0.3">
      <c r="A143">
        <v>-6.2038718921989533E-3</v>
      </c>
    </row>
    <row r="144" spans="1:1" x14ac:dyDescent="0.3">
      <c r="A144">
        <v>7.0466748352666798E-3</v>
      </c>
    </row>
    <row r="145" spans="1:1" x14ac:dyDescent="0.3">
      <c r="A145">
        <v>-3.2184892367783012E-2</v>
      </c>
    </row>
    <row r="146" spans="1:1" x14ac:dyDescent="0.3">
      <c r="A146">
        <v>-2.3826379968554971E-2</v>
      </c>
    </row>
    <row r="147" spans="1:1" x14ac:dyDescent="0.3">
      <c r="A147">
        <v>1.3110795561608071E-2</v>
      </c>
    </row>
    <row r="148" spans="1:1" x14ac:dyDescent="0.3">
      <c r="A148">
        <v>-2.4871172783345968E-2</v>
      </c>
    </row>
    <row r="149" spans="1:1" x14ac:dyDescent="0.3">
      <c r="A149">
        <v>5.6827509422659218E-3</v>
      </c>
    </row>
    <row r="150" spans="1:1" x14ac:dyDescent="0.3">
      <c r="A150">
        <v>-1.939975643941454E-3</v>
      </c>
    </row>
    <row r="151" spans="1:1" x14ac:dyDescent="0.3">
      <c r="A151">
        <v>-6.2893452504045764E-3</v>
      </c>
    </row>
    <row r="152" spans="1:1" x14ac:dyDescent="0.3">
      <c r="A152">
        <v>-1.5569255379354561E-2</v>
      </c>
    </row>
    <row r="153" spans="1:1" x14ac:dyDescent="0.3">
      <c r="A153">
        <v>1.9186800362107511E-2</v>
      </c>
    </row>
    <row r="154" spans="1:1" x14ac:dyDescent="0.3">
      <c r="A154">
        <v>3.5597823090396712E-2</v>
      </c>
    </row>
    <row r="155" spans="1:1" x14ac:dyDescent="0.3">
      <c r="A155">
        <v>7.0038432520038892E-3</v>
      </c>
    </row>
    <row r="156" spans="1:1" x14ac:dyDescent="0.3">
      <c r="A156">
        <v>7.449814313456345E-3</v>
      </c>
    </row>
    <row r="157" spans="1:1" x14ac:dyDescent="0.3">
      <c r="A157">
        <v>-1.264661259714988E-2</v>
      </c>
    </row>
    <row r="158" spans="1:1" x14ac:dyDescent="0.3">
      <c r="A158">
        <v>-2.2921944636487598E-2</v>
      </c>
    </row>
    <row r="159" spans="1:1" x14ac:dyDescent="0.3">
      <c r="A159">
        <v>2.0522190387650929E-4</v>
      </c>
    </row>
    <row r="160" spans="1:1" x14ac:dyDescent="0.3">
      <c r="A160">
        <v>-1.847499295916152E-2</v>
      </c>
    </row>
    <row r="161" spans="1:1" x14ac:dyDescent="0.3">
      <c r="A161">
        <v>-3.4452202566316432E-2</v>
      </c>
    </row>
    <row r="162" spans="1:1" x14ac:dyDescent="0.3">
      <c r="A162">
        <v>1.706891624731165E-2</v>
      </c>
    </row>
    <row r="163" spans="1:1" x14ac:dyDescent="0.3">
      <c r="A163">
        <v>1.804333576503666E-2</v>
      </c>
    </row>
    <row r="164" spans="1:1" x14ac:dyDescent="0.3">
      <c r="A164">
        <v>-1.617677545906189E-2</v>
      </c>
    </row>
    <row r="165" spans="1:1" x14ac:dyDescent="0.3">
      <c r="A165">
        <v>5.8792864255848851E-3</v>
      </c>
    </row>
    <row r="166" spans="1:1" x14ac:dyDescent="0.3">
      <c r="A166">
        <v>2.103904535583534E-2</v>
      </c>
    </row>
    <row r="167" spans="1:1" x14ac:dyDescent="0.3">
      <c r="A167">
        <v>5.1005337412375782E-3</v>
      </c>
    </row>
    <row r="168" spans="1:1" x14ac:dyDescent="0.3">
      <c r="A168">
        <v>-2.2863092921974668E-2</v>
      </c>
    </row>
    <row r="169" spans="1:1" x14ac:dyDescent="0.3">
      <c r="A169">
        <v>-3.657868264741973E-3</v>
      </c>
    </row>
    <row r="170" spans="1:1" x14ac:dyDescent="0.3">
      <c r="A170">
        <v>2.7536188400839819E-2</v>
      </c>
    </row>
    <row r="171" spans="1:1" x14ac:dyDescent="0.3">
      <c r="A171">
        <v>5.9405328721022577E-3</v>
      </c>
    </row>
    <row r="172" spans="1:1" x14ac:dyDescent="0.3">
      <c r="A172">
        <v>1.1782642063656109E-2</v>
      </c>
    </row>
    <row r="173" spans="1:1" x14ac:dyDescent="0.3">
      <c r="A173">
        <v>7.832584387382286E-3</v>
      </c>
    </row>
    <row r="174" spans="1:1" x14ac:dyDescent="0.3">
      <c r="A174">
        <v>-1.611022715956506E-2</v>
      </c>
    </row>
    <row r="175" spans="1:1" x14ac:dyDescent="0.3">
      <c r="A175">
        <v>-1.1416904385652861E-2</v>
      </c>
    </row>
    <row r="176" spans="1:1" x14ac:dyDescent="0.3">
      <c r="A176">
        <v>7.7773031410348472E-3</v>
      </c>
    </row>
    <row r="177" spans="1:1" x14ac:dyDescent="0.3">
      <c r="A177">
        <v>1.7337435600408159E-2</v>
      </c>
    </row>
    <row r="178" spans="1:1" x14ac:dyDescent="0.3">
      <c r="A178">
        <v>2.299809901835765E-2</v>
      </c>
    </row>
    <row r="179" spans="1:1" x14ac:dyDescent="0.3">
      <c r="A179">
        <v>-1.616211089536387E-2</v>
      </c>
    </row>
    <row r="180" spans="1:1" x14ac:dyDescent="0.3">
      <c r="A180">
        <v>9.6624106935438749E-3</v>
      </c>
    </row>
    <row r="181" spans="1:1" x14ac:dyDescent="0.3">
      <c r="A181">
        <v>2.4740882234379528E-2</v>
      </c>
    </row>
    <row r="182" spans="1:1" x14ac:dyDescent="0.3">
      <c r="A182">
        <v>-1.8741635405760449E-2</v>
      </c>
    </row>
    <row r="183" spans="1:1" x14ac:dyDescent="0.3">
      <c r="A183">
        <v>3.0734942715995479E-2</v>
      </c>
    </row>
    <row r="184" spans="1:1" x14ac:dyDescent="0.3">
      <c r="A184">
        <v>3.3778816546883798E-2</v>
      </c>
    </row>
    <row r="185" spans="1:1" x14ac:dyDescent="0.3">
      <c r="A185">
        <v>5.3501726792433223E-2</v>
      </c>
    </row>
    <row r="186" spans="1:1" x14ac:dyDescent="0.3">
      <c r="A186">
        <v>5.6186688165998947E-3</v>
      </c>
    </row>
    <row r="187" spans="1:1" x14ac:dyDescent="0.3">
      <c r="A187">
        <v>5.7284935252489722E-3</v>
      </c>
    </row>
    <row r="188" spans="1:1" x14ac:dyDescent="0.3">
      <c r="A188">
        <v>1.7539887782346351E-2</v>
      </c>
    </row>
    <row r="189" spans="1:1" x14ac:dyDescent="0.3">
      <c r="A189">
        <v>1.695605346098833E-2</v>
      </c>
    </row>
    <row r="190" spans="1:1" x14ac:dyDescent="0.3">
      <c r="A190">
        <v>2.3527337219912119E-2</v>
      </c>
    </row>
    <row r="191" spans="1:1" x14ac:dyDescent="0.3">
      <c r="A191">
        <v>1.6680663609302079E-2</v>
      </c>
    </row>
    <row r="192" spans="1:1" x14ac:dyDescent="0.3">
      <c r="A192">
        <v>-1.121238180760773E-3</v>
      </c>
    </row>
    <row r="193" spans="1:1" x14ac:dyDescent="0.3">
      <c r="A193">
        <v>2.5439942419470039E-2</v>
      </c>
    </row>
    <row r="194" spans="1:1" x14ac:dyDescent="0.3">
      <c r="A194">
        <v>-2.042508299385451E-2</v>
      </c>
    </row>
    <row r="195" spans="1:1" x14ac:dyDescent="0.3">
      <c r="A195">
        <v>1.117046734507529E-3</v>
      </c>
    </row>
    <row r="196" spans="1:1" x14ac:dyDescent="0.3">
      <c r="A196">
        <v>3.2274712320995977E-2</v>
      </c>
    </row>
    <row r="197" spans="1:1" x14ac:dyDescent="0.3">
      <c r="A197">
        <v>-2.4004929962406388E-2</v>
      </c>
    </row>
    <row r="198" spans="1:1" x14ac:dyDescent="0.3">
      <c r="A198">
        <v>-1.254951313994326E-2</v>
      </c>
    </row>
    <row r="199" spans="1:1" x14ac:dyDescent="0.3">
      <c r="A199">
        <v>1.4434945821545831E-2</v>
      </c>
    </row>
    <row r="200" spans="1:1" x14ac:dyDescent="0.3">
      <c r="A200">
        <v>8.8782394647230478E-3</v>
      </c>
    </row>
    <row r="201" spans="1:1" x14ac:dyDescent="0.3">
      <c r="A201">
        <v>-1.6500508153124899E-2</v>
      </c>
    </row>
    <row r="202" spans="1:1" x14ac:dyDescent="0.3">
      <c r="A202">
        <v>-7.3238800546028106E-3</v>
      </c>
    </row>
    <row r="203" spans="1:1" x14ac:dyDescent="0.3">
      <c r="A203">
        <v>-2.2615641253006781E-2</v>
      </c>
    </row>
    <row r="204" spans="1:1" x14ac:dyDescent="0.3">
      <c r="A204">
        <v>2.0609699990411449E-2</v>
      </c>
    </row>
    <row r="205" spans="1:1" x14ac:dyDescent="0.3">
      <c r="A205">
        <v>-4.1176271534106336E-3</v>
      </c>
    </row>
    <row r="206" spans="1:1" x14ac:dyDescent="0.3">
      <c r="A206">
        <v>3.6843118215212647E-2</v>
      </c>
    </row>
    <row r="207" spans="1:1" x14ac:dyDescent="0.3">
      <c r="A207">
        <v>2.6220048808004298E-3</v>
      </c>
    </row>
    <row r="208" spans="1:1" x14ac:dyDescent="0.3">
      <c r="A208">
        <v>-3.3948060680575359E-3</v>
      </c>
    </row>
    <row r="209" spans="1:1" x14ac:dyDescent="0.3">
      <c r="A209">
        <v>-5.3364352258359529E-3</v>
      </c>
    </row>
    <row r="210" spans="1:1" x14ac:dyDescent="0.3">
      <c r="A210">
        <v>-3.8839967038485669E-3</v>
      </c>
    </row>
    <row r="211" spans="1:1" x14ac:dyDescent="0.3">
      <c r="A211">
        <v>3.2164219026760599E-3</v>
      </c>
    </row>
    <row r="212" spans="1:1" x14ac:dyDescent="0.3">
      <c r="A212">
        <v>5.124815153156638E-2</v>
      </c>
    </row>
    <row r="213" spans="1:1" x14ac:dyDescent="0.3">
      <c r="A213">
        <v>-5.7771934019871882E-3</v>
      </c>
    </row>
    <row r="214" spans="1:1" x14ac:dyDescent="0.3">
      <c r="A214">
        <v>-5.1270692154261896E-3</v>
      </c>
    </row>
    <row r="215" spans="1:1" x14ac:dyDescent="0.3">
      <c r="A215">
        <v>2.3118769136635719E-3</v>
      </c>
    </row>
    <row r="216" spans="1:1" x14ac:dyDescent="0.3">
      <c r="A216">
        <v>2.2805490126885201E-2</v>
      </c>
    </row>
    <row r="217" spans="1:1" x14ac:dyDescent="0.3">
      <c r="A217">
        <v>-2.7419691221455579E-2</v>
      </c>
    </row>
    <row r="218" spans="1:1" x14ac:dyDescent="0.3">
      <c r="A218">
        <v>1.010185473819291E-2</v>
      </c>
    </row>
    <row r="219" spans="1:1" x14ac:dyDescent="0.3">
      <c r="A219">
        <v>-1.534850352042324E-2</v>
      </c>
    </row>
    <row r="220" spans="1:1" x14ac:dyDescent="0.3">
      <c r="A220">
        <v>1.206545377901898E-2</v>
      </c>
    </row>
    <row r="221" spans="1:1" x14ac:dyDescent="0.3">
      <c r="A221">
        <v>-8.8751988472091231E-3</v>
      </c>
    </row>
    <row r="222" spans="1:1" x14ac:dyDescent="0.3">
      <c r="A222">
        <v>-4.5082046795145728E-2</v>
      </c>
    </row>
    <row r="223" spans="1:1" x14ac:dyDescent="0.3">
      <c r="A223">
        <v>8.3915520537497061E-3</v>
      </c>
    </row>
    <row r="224" spans="1:1" x14ac:dyDescent="0.3">
      <c r="A224">
        <v>8.2228954069373736E-3</v>
      </c>
    </row>
    <row r="225" spans="1:1" x14ac:dyDescent="0.3">
      <c r="A225">
        <v>-1.05816061695886E-2</v>
      </c>
    </row>
    <row r="226" spans="1:1" x14ac:dyDescent="0.3">
      <c r="A226">
        <v>-1.176687720286005E-2</v>
      </c>
    </row>
    <row r="227" spans="1:1" x14ac:dyDescent="0.3">
      <c r="A227">
        <v>-2.5227454501753049E-2</v>
      </c>
    </row>
    <row r="228" spans="1:1" x14ac:dyDescent="0.3">
      <c r="A228">
        <v>1.6461998830777431E-2</v>
      </c>
    </row>
    <row r="229" spans="1:1" x14ac:dyDescent="0.3">
      <c r="A229">
        <v>1.8644315649336159E-2</v>
      </c>
    </row>
    <row r="230" spans="1:1" x14ac:dyDescent="0.3">
      <c r="A230">
        <v>-1.65810177035178E-2</v>
      </c>
    </row>
    <row r="231" spans="1:1" x14ac:dyDescent="0.3">
      <c r="A231">
        <v>-9.798689190777015E-3</v>
      </c>
    </row>
    <row r="232" spans="1:1" x14ac:dyDescent="0.3">
      <c r="A232">
        <v>-2.6578242277926949E-4</v>
      </c>
    </row>
    <row r="233" spans="1:1" x14ac:dyDescent="0.3">
      <c r="A233">
        <v>4.6417305620710933E-2</v>
      </c>
    </row>
    <row r="234" spans="1:1" x14ac:dyDescent="0.3">
      <c r="A234">
        <v>1.190243495177864E-2</v>
      </c>
    </row>
    <row r="235" spans="1:1" x14ac:dyDescent="0.3">
      <c r="A235">
        <v>-1.786831030016758E-2</v>
      </c>
    </row>
    <row r="236" spans="1:1" x14ac:dyDescent="0.3">
      <c r="A236">
        <v>7.0756061898101102E-3</v>
      </c>
    </row>
    <row r="237" spans="1:1" x14ac:dyDescent="0.3">
      <c r="A237">
        <v>-2.653383081276163E-2</v>
      </c>
    </row>
    <row r="238" spans="1:1" x14ac:dyDescent="0.3">
      <c r="A238">
        <v>1.535980619832342E-2</v>
      </c>
    </row>
    <row r="239" spans="1:1" x14ac:dyDescent="0.3">
      <c r="A239">
        <v>3.4510947870889708E-2</v>
      </c>
    </row>
    <row r="240" spans="1:1" x14ac:dyDescent="0.3">
      <c r="A240">
        <v>3.4595833701679173E-2</v>
      </c>
    </row>
    <row r="241" spans="1:1" x14ac:dyDescent="0.3">
      <c r="A241">
        <v>1.569787006948677E-2</v>
      </c>
    </row>
    <row r="242" spans="1:1" x14ac:dyDescent="0.3">
      <c r="A242">
        <v>-1.0668247117362591E-2</v>
      </c>
    </row>
    <row r="243" spans="1:1" x14ac:dyDescent="0.3">
      <c r="A243">
        <v>-2.5018035130282518E-2</v>
      </c>
    </row>
    <row r="244" spans="1:1" x14ac:dyDescent="0.3">
      <c r="A244">
        <v>-2.700410086738218E-2</v>
      </c>
    </row>
    <row r="245" spans="1:1" x14ac:dyDescent="0.3">
      <c r="A245">
        <v>-5.5124342189970872E-2</v>
      </c>
    </row>
    <row r="246" spans="1:1" x14ac:dyDescent="0.3">
      <c r="A246">
        <v>1.4877115260158429E-2</v>
      </c>
    </row>
    <row r="247" spans="1:1" x14ac:dyDescent="0.3">
      <c r="A247">
        <v>-1.0567104044879891E-3</v>
      </c>
    </row>
    <row r="248" spans="1:1" x14ac:dyDescent="0.3">
      <c r="A248">
        <v>1.9184323329062551E-2</v>
      </c>
    </row>
    <row r="249" spans="1:1" x14ac:dyDescent="0.3">
      <c r="A249">
        <v>2.9560629704695762E-2</v>
      </c>
    </row>
    <row r="250" spans="1:1" x14ac:dyDescent="0.3">
      <c r="A250">
        <v>2.9981108780481949E-3</v>
      </c>
    </row>
    <row r="251" spans="1:1" x14ac:dyDescent="0.3">
      <c r="A251">
        <v>3.9192321942630032E-3</v>
      </c>
    </row>
    <row r="252" spans="1:1" x14ac:dyDescent="0.3">
      <c r="A252">
        <v>-8.2864068899493291E-3</v>
      </c>
    </row>
    <row r="253" spans="1:1" x14ac:dyDescent="0.3">
      <c r="A253">
        <v>-5.921688343448161E-3</v>
      </c>
    </row>
    <row r="254" spans="1:1" x14ac:dyDescent="0.3">
      <c r="A254">
        <v>1.5569398249458679E-2</v>
      </c>
    </row>
    <row r="255" spans="1:1" x14ac:dyDescent="0.3">
      <c r="A255">
        <v>-2.4875006073062098E-3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zoomScale="85" zoomScaleNormal="85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100.109375" bestFit="1" customWidth="1"/>
    <col min="2" max="4" width="22.6640625" customWidth="1"/>
    <col min="5" max="5" width="38.5546875" customWidth="1"/>
    <col min="6" max="26" width="22.6640625" customWidth="1"/>
  </cols>
  <sheetData>
    <row r="1" spans="1:6" ht="31.2" x14ac:dyDescent="0.6">
      <c r="A1" s="1" t="s">
        <v>175</v>
      </c>
    </row>
    <row r="5" spans="1:6" x14ac:dyDescent="0.3">
      <c r="A5" t="s">
        <v>176</v>
      </c>
      <c r="B5" t="s">
        <v>177</v>
      </c>
      <c r="C5" t="s">
        <v>178</v>
      </c>
      <c r="E5" s="6" t="s">
        <v>187</v>
      </c>
    </row>
    <row r="6" spans="1:6" x14ac:dyDescent="0.3">
      <c r="A6" t="s">
        <v>179</v>
      </c>
      <c r="B6">
        <v>45</v>
      </c>
      <c r="C6">
        <v>2</v>
      </c>
    </row>
    <row r="7" spans="1:6" x14ac:dyDescent="0.3">
      <c r="A7" t="s">
        <v>180</v>
      </c>
      <c r="B7">
        <v>120</v>
      </c>
      <c r="C7">
        <v>5</v>
      </c>
      <c r="E7" s="7" t="s">
        <v>188</v>
      </c>
    </row>
    <row r="8" spans="1:6" x14ac:dyDescent="0.3">
      <c r="A8" t="s">
        <v>181</v>
      </c>
      <c r="B8">
        <v>12</v>
      </c>
      <c r="C8">
        <v>4</v>
      </c>
      <c r="E8" s="7" t="s">
        <v>189</v>
      </c>
    </row>
    <row r="9" spans="1:6" x14ac:dyDescent="0.3">
      <c r="A9" t="s">
        <v>182</v>
      </c>
      <c r="B9">
        <v>65</v>
      </c>
      <c r="C9">
        <v>12</v>
      </c>
      <c r="E9" s="7" t="s">
        <v>190</v>
      </c>
    </row>
    <row r="10" spans="1:6" x14ac:dyDescent="0.3">
      <c r="A10" t="s">
        <v>183</v>
      </c>
      <c r="B10">
        <v>250</v>
      </c>
      <c r="C10">
        <v>3</v>
      </c>
      <c r="E10" s="7" t="s">
        <v>191</v>
      </c>
    </row>
    <row r="11" spans="1:6" x14ac:dyDescent="0.3">
      <c r="A11" t="s">
        <v>184</v>
      </c>
      <c r="B11">
        <v>88</v>
      </c>
      <c r="C11">
        <v>8</v>
      </c>
      <c r="E11" s="7" t="s">
        <v>192</v>
      </c>
    </row>
    <row r="12" spans="1:6" x14ac:dyDescent="0.3">
      <c r="A12" t="s">
        <v>185</v>
      </c>
      <c r="B12">
        <v>30</v>
      </c>
      <c r="C12">
        <v>10</v>
      </c>
      <c r="E12" s="7" t="s">
        <v>193</v>
      </c>
    </row>
    <row r="13" spans="1:6" x14ac:dyDescent="0.3">
      <c r="A13" t="s">
        <v>186</v>
      </c>
      <c r="B13">
        <v>50</v>
      </c>
      <c r="C13">
        <v>6</v>
      </c>
    </row>
    <row r="14" spans="1:6" x14ac:dyDescent="0.3">
      <c r="E14" s="8" t="s">
        <v>194</v>
      </c>
    </row>
    <row r="16" spans="1:6" x14ac:dyDescent="0.3">
      <c r="E16" s="3" t="s">
        <v>195</v>
      </c>
      <c r="F16" s="4" t="str">
        <f>TRIM(MID(A6, FIND("|", A6) + 1, FIND("|", A6, FIND("|", A6) + 1) - FIND("|", A6) - 1))</f>
        <v>search_ads</v>
      </c>
    </row>
    <row r="17" spans="1:6" x14ac:dyDescent="0.3">
      <c r="A17" t="s">
        <v>237</v>
      </c>
      <c r="E17" s="3" t="s">
        <v>196</v>
      </c>
      <c r="F17" s="4">
        <f>VALUE(SUBSTITUTE(MID(A6, FIND("$$", A6) + 2, 7), " ", ""))</f>
        <v>450.5</v>
      </c>
    </row>
    <row r="18" spans="1:6" x14ac:dyDescent="0.3">
      <c r="A18" t="e" cm="1">
        <f t="array" aca="1" ref="A18" ca="1">TEXTSPLIT(A6,,"|")</f>
        <v>#NAME?</v>
      </c>
      <c r="E18" s="3" t="s">
        <v>197</v>
      </c>
      <c r="F18" s="4">
        <v>0</v>
      </c>
    </row>
    <row r="19" spans="1:6" x14ac:dyDescent="0.3">
      <c r="E19" s="3" t="s">
        <v>198</v>
      </c>
      <c r="F19" s="4">
        <f>E6/C6</f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"/>
  <sheetViews>
    <sheetView topLeftCell="G1" workbookViewId="0">
      <pane ySplit="5" topLeftCell="A6" activePane="bottomLeft" state="frozen"/>
      <selection pane="bottomLeft" activeCell="C20" sqref="C20"/>
    </sheetView>
  </sheetViews>
  <sheetFormatPr defaultRowHeight="14.4" x14ac:dyDescent="0.3"/>
  <cols>
    <col min="1" max="4" width="22.6640625" customWidth="1"/>
    <col min="5" max="5" width="44.6640625" customWidth="1"/>
    <col min="6" max="26" width="22.6640625" customWidth="1"/>
  </cols>
  <sheetData>
    <row r="1" spans="1:5" ht="31.2" x14ac:dyDescent="0.6">
      <c r="A1" s="1" t="s">
        <v>199</v>
      </c>
    </row>
    <row r="5" spans="1:5" x14ac:dyDescent="0.3">
      <c r="A5" t="s">
        <v>200</v>
      </c>
      <c r="B5" t="s">
        <v>201</v>
      </c>
      <c r="C5" t="s">
        <v>202</v>
      </c>
      <c r="D5" t="s">
        <v>203</v>
      </c>
      <c r="E5" s="6" t="s">
        <v>204</v>
      </c>
    </row>
    <row r="6" spans="1:5" x14ac:dyDescent="0.3">
      <c r="A6">
        <v>2024</v>
      </c>
      <c r="B6">
        <v>100000</v>
      </c>
      <c r="C6">
        <v>0.2</v>
      </c>
      <c r="D6">
        <v>0.7</v>
      </c>
      <c r="E6">
        <v>15000</v>
      </c>
    </row>
    <row r="7" spans="1:5" x14ac:dyDescent="0.3">
      <c r="A7">
        <v>2025</v>
      </c>
      <c r="B7">
        <v>120000</v>
      </c>
      <c r="C7">
        <v>0.17499999999999999</v>
      </c>
      <c r="D7">
        <v>0.68</v>
      </c>
      <c r="E7" s="7" t="s">
        <v>205</v>
      </c>
    </row>
    <row r="8" spans="1:5" x14ac:dyDescent="0.3">
      <c r="A8">
        <v>2026</v>
      </c>
      <c r="B8">
        <v>145000</v>
      </c>
      <c r="C8">
        <v>0.2069</v>
      </c>
      <c r="D8">
        <v>0.65</v>
      </c>
      <c r="E8" s="7" t="s">
        <v>206</v>
      </c>
    </row>
    <row r="9" spans="1:5" x14ac:dyDescent="0.3">
      <c r="A9">
        <v>2027</v>
      </c>
      <c r="B9">
        <v>170000</v>
      </c>
      <c r="C9">
        <v>0.1724</v>
      </c>
      <c r="D9">
        <v>0.64</v>
      </c>
      <c r="E9" s="7" t="s">
        <v>207</v>
      </c>
    </row>
    <row r="10" spans="1:5" x14ac:dyDescent="0.3">
      <c r="A10">
        <v>2028</v>
      </c>
      <c r="B10">
        <v>200000</v>
      </c>
      <c r="C10">
        <v>0.17649999999999999</v>
      </c>
      <c r="D10">
        <v>0.62</v>
      </c>
      <c r="E10" s="7" t="s">
        <v>208</v>
      </c>
    </row>
    <row r="11" spans="1:5" x14ac:dyDescent="0.3">
      <c r="E11" s="7" t="s">
        <v>209</v>
      </c>
    </row>
    <row r="12" spans="1:5" x14ac:dyDescent="0.3">
      <c r="E12" s="7" t="s">
        <v>210</v>
      </c>
    </row>
    <row r="16" spans="1:5" x14ac:dyDescent="0.3">
      <c r="E16" s="8" t="s">
        <v>211</v>
      </c>
    </row>
    <row r="17" spans="5:10" ht="28.8" x14ac:dyDescent="0.3">
      <c r="E17" s="7" t="s">
        <v>212</v>
      </c>
      <c r="F17" s="7" t="s">
        <v>213</v>
      </c>
    </row>
    <row r="18" spans="5:10" x14ac:dyDescent="0.3">
      <c r="F18" s="4">
        <v>0.15</v>
      </c>
      <c r="G18" s="4">
        <v>0.6</v>
      </c>
      <c r="H18" s="4">
        <v>0.65</v>
      </c>
      <c r="I18" s="4">
        <v>0.7</v>
      </c>
      <c r="J18" s="4">
        <v>0.75</v>
      </c>
    </row>
    <row r="19" spans="5:10" x14ac:dyDescent="0.3">
      <c r="F19" s="4">
        <v>0.2</v>
      </c>
      <c r="G19" s="4">
        <f>$B$6*(1-F19)-H$6</f>
        <v>80000</v>
      </c>
      <c r="H19" s="4">
        <f>$B$6*(1-G19)-H$6</f>
        <v>-7999900000</v>
      </c>
      <c r="J19" s="4">
        <f ca="1">$B$6*(1-J19)-H$6</f>
        <v>0</v>
      </c>
    </row>
    <row r="20" spans="5:10" x14ac:dyDescent="0.3">
      <c r="F20" s="4">
        <v>0.25</v>
      </c>
      <c r="G20" s="4">
        <f>$B$6*(1-F20)-H$6</f>
        <v>75000</v>
      </c>
      <c r="H20" s="4">
        <f>$B$6*(1-G20)-H$6</f>
        <v>-7499900000</v>
      </c>
      <c r="J20" s="4">
        <f ca="1">$B$6*(1-J20)-H$6</f>
        <v>0</v>
      </c>
    </row>
    <row r="21" spans="5:10" x14ac:dyDescent="0.3">
      <c r="G21" s="4">
        <f>$B$6*(1-F21)-H$6</f>
        <v>100000</v>
      </c>
      <c r="H21" s="4">
        <f>$B$6*(1-G21)-H$6</f>
        <v>-9999900000</v>
      </c>
      <c r="J21" s="4">
        <f ca="1">$B$6*(1-J21)-H$6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4"/>
  <sheetViews>
    <sheetView zoomScale="85" zoomScaleNormal="85" workbookViewId="0">
      <pane ySplit="5" topLeftCell="A6" activePane="bottomLeft" state="frozen"/>
      <selection pane="bottomLeft" activeCell="C18" sqref="C18"/>
    </sheetView>
  </sheetViews>
  <sheetFormatPr defaultRowHeight="14.4" x14ac:dyDescent="0.3"/>
  <cols>
    <col min="1" max="4" width="22.6640625" customWidth="1"/>
    <col min="5" max="5" width="36.109375" bestFit="1" customWidth="1"/>
    <col min="6" max="26" width="22.6640625" customWidth="1"/>
  </cols>
  <sheetData>
    <row r="1" spans="1:5" ht="31.2" x14ac:dyDescent="0.6">
      <c r="A1" s="1" t="s">
        <v>214</v>
      </c>
    </row>
    <row r="5" spans="1:5" x14ac:dyDescent="0.3">
      <c r="A5" t="s">
        <v>43</v>
      </c>
      <c r="B5" t="s">
        <v>215</v>
      </c>
      <c r="C5" t="s">
        <v>216</v>
      </c>
      <c r="D5" t="s">
        <v>217</v>
      </c>
      <c r="E5" s="6" t="s">
        <v>222</v>
      </c>
    </row>
    <row r="6" spans="1:5" x14ac:dyDescent="0.3">
      <c r="A6" t="s">
        <v>57</v>
      </c>
      <c r="B6" t="s">
        <v>218</v>
      </c>
      <c r="C6">
        <v>150</v>
      </c>
      <c r="D6">
        <v>150000</v>
      </c>
    </row>
    <row r="7" spans="1:5" x14ac:dyDescent="0.3">
      <c r="A7" t="s">
        <v>59</v>
      </c>
      <c r="B7" t="s">
        <v>219</v>
      </c>
      <c r="C7">
        <v>200</v>
      </c>
      <c r="D7">
        <v>200000</v>
      </c>
      <c r="E7" s="7" t="s">
        <v>223</v>
      </c>
    </row>
    <row r="8" spans="1:5" x14ac:dyDescent="0.3">
      <c r="A8" t="s">
        <v>60</v>
      </c>
      <c r="B8" t="s">
        <v>220</v>
      </c>
      <c r="C8">
        <v>120</v>
      </c>
      <c r="D8">
        <v>120000</v>
      </c>
      <c r="E8" s="7" t="s">
        <v>224</v>
      </c>
    </row>
    <row r="9" spans="1:5" x14ac:dyDescent="0.3">
      <c r="A9" t="s">
        <v>58</v>
      </c>
      <c r="B9" t="s">
        <v>221</v>
      </c>
      <c r="C9">
        <v>180</v>
      </c>
      <c r="D9">
        <v>180000</v>
      </c>
      <c r="E9" s="7" t="s">
        <v>225</v>
      </c>
    </row>
    <row r="10" spans="1:5" x14ac:dyDescent="0.3">
      <c r="A10" t="s">
        <v>57</v>
      </c>
      <c r="B10" t="s">
        <v>218</v>
      </c>
      <c r="C10">
        <v>130</v>
      </c>
      <c r="D10">
        <v>130000</v>
      </c>
      <c r="E10" s="7" t="s">
        <v>226</v>
      </c>
    </row>
    <row r="11" spans="1:5" x14ac:dyDescent="0.3">
      <c r="A11" t="s">
        <v>59</v>
      </c>
      <c r="B11" t="s">
        <v>219</v>
      </c>
      <c r="C11">
        <v>220</v>
      </c>
      <c r="D11">
        <v>220000</v>
      </c>
      <c r="E11" s="7" t="s">
        <v>227</v>
      </c>
    </row>
    <row r="12" spans="1:5" x14ac:dyDescent="0.3">
      <c r="A12" t="s">
        <v>60</v>
      </c>
      <c r="B12" t="s">
        <v>220</v>
      </c>
      <c r="C12">
        <v>110</v>
      </c>
      <c r="D12">
        <v>110000</v>
      </c>
    </row>
    <row r="13" spans="1:5" x14ac:dyDescent="0.3">
      <c r="A13" t="s">
        <v>58</v>
      </c>
      <c r="B13" t="s">
        <v>221</v>
      </c>
      <c r="C13">
        <v>190</v>
      </c>
      <c r="D13">
        <v>190000</v>
      </c>
    </row>
    <row r="14" spans="1:5" x14ac:dyDescent="0.3">
      <c r="A14" t="s">
        <v>57</v>
      </c>
      <c r="B14" t="s">
        <v>218</v>
      </c>
      <c r="C14">
        <v>160</v>
      </c>
      <c r="D14">
        <v>160000</v>
      </c>
    </row>
    <row r="15" spans="1:5" x14ac:dyDescent="0.3">
      <c r="A15" t="s">
        <v>59</v>
      </c>
      <c r="B15" t="s">
        <v>219</v>
      </c>
      <c r="C15">
        <v>210</v>
      </c>
      <c r="D15">
        <v>210000</v>
      </c>
    </row>
    <row r="16" spans="1:5" x14ac:dyDescent="0.3">
      <c r="E16" s="8" t="s">
        <v>228</v>
      </c>
    </row>
    <row r="17" spans="5:6" x14ac:dyDescent="0.3">
      <c r="E17" s="7" t="s">
        <v>229</v>
      </c>
      <c r="F17" s="7" t="s">
        <v>230</v>
      </c>
    </row>
    <row r="19" spans="5:6" x14ac:dyDescent="0.3">
      <c r="E19" s="4" t="s">
        <v>231</v>
      </c>
    </row>
    <row r="20" spans="5:6" x14ac:dyDescent="0.3">
      <c r="E20" s="4" t="s">
        <v>232</v>
      </c>
    </row>
    <row r="21" spans="5:6" x14ac:dyDescent="0.3">
      <c r="E21" s="4" t="s">
        <v>233</v>
      </c>
    </row>
    <row r="22" spans="5:6" x14ac:dyDescent="0.3">
      <c r="E22" s="4" t="s">
        <v>234</v>
      </c>
    </row>
    <row r="23" spans="5:6" x14ac:dyDescent="0.3">
      <c r="E23" s="4" t="s">
        <v>235</v>
      </c>
    </row>
    <row r="24" spans="5:6" x14ac:dyDescent="0.3">
      <c r="E24" s="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1_Advanced_Formulas</vt:lpstr>
      <vt:lpstr>2_Sales_Analytics</vt:lpstr>
      <vt:lpstr>3_Data_Engineering</vt:lpstr>
      <vt:lpstr>4_Descriptive_Stats</vt:lpstr>
      <vt:lpstr>5_Inferential_Stats</vt:lpstr>
      <vt:lpstr>6_Risk_Modeling</vt:lpstr>
      <vt:lpstr>7_Advanced_Insights</vt:lpstr>
      <vt:lpstr>8_Financial_Model</vt:lpstr>
      <vt:lpstr>9_Analytics_Viz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matrixboy</dc:creator>
  <cp:lastModifiedBy>Utsav Lankaprti</cp:lastModifiedBy>
  <dcterms:created xsi:type="dcterms:W3CDTF">2026-05-11T06:08:04Z</dcterms:created>
  <dcterms:modified xsi:type="dcterms:W3CDTF">2026-05-11T06:31:14Z</dcterms:modified>
</cp:coreProperties>
</file>