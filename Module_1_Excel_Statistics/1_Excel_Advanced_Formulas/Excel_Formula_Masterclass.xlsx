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tsav\omni\OmniDataAnalysisModule\Module_1_Excel_Statistics\1_Excel_Advanced_Formulas\"/>
    </mc:Choice>
  </mc:AlternateContent>
  <xr:revisionPtr revIDLastSave="0" documentId="13_ncr:1_{B0CC81E0-A5B7-4E5B-82E5-56726AEB223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📦 Raw Data" sheetId="1" r:id="rId1"/>
    <sheet name="🔍 XLOOKUP" sheetId="2" r:id="rId2"/>
    <sheet name="🎯 INDEX-MATCH" sheetId="3" r:id="rId3"/>
    <sheet name="🌿 Nested IFS" sheetId="4" r:id="rId4"/>
    <sheet name="➕ SUMIFS" sheetId="5" r:id="rId5"/>
    <sheet name="🛡️ IFERROR" sheetId="6" r:id="rId6"/>
    <sheet name="📝 Practice Dataset" sheetId="7" r:id="rId7"/>
    <sheet name="📋 Cheat Sheet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3" i="1" l="1"/>
  <c r="N23" i="1"/>
  <c r="N18" i="1"/>
  <c r="C20" i="5"/>
  <c r="N11" i="1"/>
  <c r="C14" i="5"/>
  <c r="C11" i="5"/>
  <c r="F11" i="5" s="1"/>
  <c r="B11" i="5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N14" i="1"/>
  <c r="N13" i="1"/>
  <c r="N12" i="1"/>
  <c r="B13" i="2"/>
  <c r="E22" i="2"/>
  <c r="E23" i="2"/>
  <c r="E24" i="2"/>
  <c r="E25" i="2"/>
  <c r="D22" i="2"/>
  <c r="D23" i="2"/>
  <c r="D24" i="2"/>
  <c r="D25" i="2"/>
  <c r="C22" i="2"/>
  <c r="C23" i="2"/>
  <c r="C24" i="2"/>
  <c r="C25" i="2"/>
  <c r="B22" i="2"/>
  <c r="B23" i="2"/>
  <c r="B24" i="2"/>
  <c r="B25" i="2"/>
  <c r="E21" i="2"/>
  <c r="D21" i="2"/>
  <c r="C21" i="2"/>
  <c r="B21" i="2"/>
  <c r="F14" i="2"/>
  <c r="F15" i="2"/>
  <c r="F16" i="2"/>
  <c r="F17" i="2"/>
  <c r="F13" i="2"/>
  <c r="E14" i="2"/>
  <c r="E15" i="2"/>
  <c r="E16" i="2"/>
  <c r="E17" i="2"/>
  <c r="E13" i="2"/>
  <c r="D14" i="2"/>
  <c r="D15" i="2"/>
  <c r="D16" i="2"/>
  <c r="D17" i="2"/>
  <c r="D13" i="2"/>
  <c r="C14" i="2"/>
  <c r="C15" i="2"/>
  <c r="C16" i="2"/>
  <c r="C17" i="2"/>
  <c r="C13" i="2"/>
  <c r="B14" i="2"/>
  <c r="B15" i="2"/>
  <c r="B16" i="2"/>
  <c r="B17" i="2"/>
  <c r="F40" i="7"/>
  <c r="E40" i="7"/>
  <c r="D40" i="7"/>
  <c r="C40" i="7"/>
  <c r="B40" i="7"/>
  <c r="F39" i="7"/>
  <c r="E39" i="7"/>
  <c r="D39" i="7"/>
  <c r="C39" i="7"/>
  <c r="B39" i="7"/>
  <c r="F38" i="7"/>
  <c r="E38" i="7"/>
  <c r="D38" i="7"/>
  <c r="C38" i="7"/>
  <c r="B38" i="7"/>
  <c r="F34" i="7"/>
  <c r="D34" i="7"/>
  <c r="F33" i="7"/>
  <c r="D33" i="7"/>
  <c r="F32" i="7"/>
  <c r="F31" i="7"/>
  <c r="F30" i="7"/>
  <c r="D30" i="7"/>
  <c r="F29" i="7"/>
  <c r="J25" i="7"/>
  <c r="J24" i="7"/>
  <c r="J23" i="7"/>
  <c r="J22" i="7"/>
  <c r="J21" i="7"/>
  <c r="J20" i="7"/>
  <c r="J19" i="7"/>
  <c r="L18" i="7"/>
  <c r="K18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E24" i="6"/>
  <c r="F24" i="6" s="1"/>
  <c r="E23" i="6"/>
  <c r="F23" i="6" s="1"/>
  <c r="E22" i="6"/>
  <c r="F22" i="6" s="1"/>
  <c r="E21" i="6"/>
  <c r="F21" i="6" s="1"/>
  <c r="E20" i="6"/>
  <c r="F20" i="6" s="1"/>
  <c r="E19" i="6"/>
  <c r="F19" i="6" s="1"/>
  <c r="C15" i="6"/>
  <c r="D14" i="6"/>
  <c r="C14" i="6"/>
  <c r="C13" i="6"/>
  <c r="C12" i="6"/>
  <c r="C11" i="6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B20" i="5"/>
  <c r="F15" i="5"/>
  <c r="E15" i="5"/>
  <c r="D15" i="5"/>
  <c r="C15" i="5"/>
  <c r="B15" i="5"/>
  <c r="E14" i="5"/>
  <c r="D14" i="5"/>
  <c r="B14" i="5"/>
  <c r="F14" i="5" s="1"/>
  <c r="E13" i="5"/>
  <c r="D13" i="5"/>
  <c r="C13" i="5"/>
  <c r="B13" i="5"/>
  <c r="F13" i="5" s="1"/>
  <c r="E12" i="5"/>
  <c r="E16" i="5" s="1"/>
  <c r="D12" i="5"/>
  <c r="D16" i="5" s="1"/>
  <c r="C12" i="5"/>
  <c r="B12" i="5"/>
  <c r="E11" i="5"/>
  <c r="D11" i="5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F25" i="2"/>
  <c r="F23" i="2"/>
  <c r="F22" i="2"/>
  <c r="F21" i="2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C16" i="5" l="1"/>
  <c r="F21" i="5"/>
  <c r="F20" i="5"/>
  <c r="F23" i="5"/>
  <c r="F24" i="5"/>
  <c r="F22" i="5"/>
  <c r="F24" i="2"/>
  <c r="L25" i="7"/>
  <c r="K25" i="7"/>
  <c r="K24" i="7"/>
  <c r="L24" i="7"/>
  <c r="L23" i="7"/>
  <c r="K23" i="7"/>
  <c r="L22" i="7"/>
  <c r="K22" i="7"/>
  <c r="K21" i="7"/>
  <c r="L21" i="7"/>
  <c r="K20" i="7"/>
  <c r="L20" i="7"/>
  <c r="K19" i="7"/>
  <c r="L19" i="7"/>
  <c r="L17" i="7"/>
  <c r="K17" i="7"/>
  <c r="L16" i="7"/>
  <c r="K16" i="7"/>
  <c r="K15" i="7"/>
  <c r="L15" i="7"/>
  <c r="L14" i="7"/>
  <c r="K14" i="7"/>
  <c r="L13" i="7"/>
  <c r="K13" i="7"/>
  <c r="K12" i="7"/>
  <c r="L12" i="7"/>
  <c r="L11" i="7"/>
  <c r="K11" i="7"/>
  <c r="L10" i="7"/>
  <c r="K10" i="7"/>
  <c r="K9" i="7"/>
  <c r="L9" i="7"/>
  <c r="L8" i="7"/>
  <c r="K8" i="7"/>
  <c r="K7" i="7"/>
  <c r="L7" i="7"/>
  <c r="L6" i="7"/>
  <c r="K6" i="7"/>
  <c r="G30" i="6"/>
  <c r="H30" i="6"/>
  <c r="G29" i="6"/>
  <c r="H29" i="6"/>
  <c r="G28" i="6"/>
  <c r="H28" i="6"/>
  <c r="G27" i="6"/>
  <c r="H27" i="6"/>
  <c r="G26" i="6"/>
  <c r="H26" i="6"/>
  <c r="G25" i="6"/>
  <c r="H25" i="6"/>
  <c r="G24" i="6"/>
  <c r="H24" i="6"/>
  <c r="G23" i="6"/>
  <c r="H23" i="6"/>
  <c r="G22" i="6"/>
  <c r="H22" i="6"/>
  <c r="G21" i="6"/>
  <c r="H21" i="6"/>
  <c r="G20" i="6"/>
  <c r="H20" i="6"/>
  <c r="G19" i="6"/>
  <c r="H19" i="6"/>
  <c r="B16" i="5"/>
  <c r="F12" i="5"/>
  <c r="F16" i="5" s="1"/>
</calcChain>
</file>

<file path=xl/sharedStrings.xml><?xml version="1.0" encoding="utf-8"?>
<sst xmlns="http://schemas.openxmlformats.org/spreadsheetml/2006/main" count="737" uniqueCount="392">
  <si>
    <t>📦  EMPLOYEE SALES DATASET  —  Raw Data Source</t>
  </si>
  <si>
    <t>Use this sheet as the data source for all formula practice sheets</t>
  </si>
  <si>
    <t>TABLE A — Employee Master (Reference Range: A5:K30)</t>
  </si>
  <si>
    <t>Emp ID</t>
  </si>
  <si>
    <t>Employee Name</t>
  </si>
  <si>
    <t>Department</t>
  </si>
  <si>
    <t>Region</t>
  </si>
  <si>
    <t>Level</t>
  </si>
  <si>
    <t>Base Salary</t>
  </si>
  <si>
    <t>Sales Amount</t>
  </si>
  <si>
    <t>Quarter</t>
  </si>
  <si>
    <t>Year</t>
  </si>
  <si>
    <t>Status</t>
  </si>
  <si>
    <t>Bonus %</t>
  </si>
  <si>
    <t>E001</t>
  </si>
  <si>
    <t>Amit Shah</t>
  </si>
  <si>
    <t>Sales</t>
  </si>
  <si>
    <t>North</t>
  </si>
  <si>
    <t>Senior</t>
  </si>
  <si>
    <t>Q1</t>
  </si>
  <si>
    <t>Active</t>
  </si>
  <si>
    <t>E002</t>
  </si>
  <si>
    <t>Priya Patel</t>
  </si>
  <si>
    <t>Marketing</t>
  </si>
  <si>
    <t>West</t>
  </si>
  <si>
    <t>Junior</t>
  </si>
  <si>
    <t>E003</t>
  </si>
  <si>
    <t>Ravi Kumar</t>
  </si>
  <si>
    <t>South</t>
  </si>
  <si>
    <t>Mid</t>
  </si>
  <si>
    <t>Q2</t>
  </si>
  <si>
    <t>E004</t>
  </si>
  <si>
    <t>Sneha Mehta</t>
  </si>
  <si>
    <t>IT</t>
  </si>
  <si>
    <t>East</t>
  </si>
  <si>
    <t>E005</t>
  </si>
  <si>
    <t>Karan Joshi</t>
  </si>
  <si>
    <t>E006</t>
  </si>
  <si>
    <t>Divya Sharma</t>
  </si>
  <si>
    <t>HR</t>
  </si>
  <si>
    <t>Q3</t>
  </si>
  <si>
    <t>E007</t>
  </si>
  <si>
    <t>Ankit Gupta</t>
  </si>
  <si>
    <t>E008</t>
  </si>
  <si>
    <t>Neha Singh</t>
  </si>
  <si>
    <t>Finance</t>
  </si>
  <si>
    <t>E009</t>
  </si>
  <si>
    <t>Vikram Rao</t>
  </si>
  <si>
    <t>Q4</t>
  </si>
  <si>
    <t>E010</t>
  </si>
  <si>
    <t>Meera Nair</t>
  </si>
  <si>
    <t>E011</t>
  </si>
  <si>
    <t>Sanjay Verma</t>
  </si>
  <si>
    <t>Inactive</t>
  </si>
  <si>
    <t>E012</t>
  </si>
  <si>
    <t>Pooja Agarwal</t>
  </si>
  <si>
    <t>E013</t>
  </si>
  <si>
    <t>Rajesh Pandey</t>
  </si>
  <si>
    <t>E014</t>
  </si>
  <si>
    <t>Asha Desai</t>
  </si>
  <si>
    <t>E015</t>
  </si>
  <si>
    <t>Nikhil Tiwari</t>
  </si>
  <si>
    <t>E016</t>
  </si>
  <si>
    <t>Kavya Menon</t>
  </si>
  <si>
    <t>E017</t>
  </si>
  <si>
    <t>Arjun Kapoor</t>
  </si>
  <si>
    <t>E018</t>
  </si>
  <si>
    <t>Lakshmi Iyer</t>
  </si>
  <si>
    <t>E019</t>
  </si>
  <si>
    <t>Rohit Bose</t>
  </si>
  <si>
    <t>E020</t>
  </si>
  <si>
    <t>Sunita Pillai</t>
  </si>
  <si>
    <t>E021</t>
  </si>
  <si>
    <t>Deepak Yadav</t>
  </si>
  <si>
    <t>E022</t>
  </si>
  <si>
    <t>Ananya Roy</t>
  </si>
  <si>
    <t>E023</t>
  </si>
  <si>
    <t>Pranav Mishra</t>
  </si>
  <si>
    <t>E024</t>
  </si>
  <si>
    <t>Shruti Das</t>
  </si>
  <si>
    <t>E025</t>
  </si>
  <si>
    <t>Gaurav Saxena</t>
  </si>
  <si>
    <t>TABLE B — Product Catalogue (Reference Range: A34:E44)</t>
  </si>
  <si>
    <t>Product ID</t>
  </si>
  <si>
    <t>Product Name</t>
  </si>
  <si>
    <t>Category</t>
  </si>
  <si>
    <t>Selling Price (₹)</t>
  </si>
  <si>
    <t>Cost Price (₹)</t>
  </si>
  <si>
    <t>P001</t>
  </si>
  <si>
    <t>Laptop Pro</t>
  </si>
  <si>
    <t>Electronics</t>
  </si>
  <si>
    <t>P002</t>
  </si>
  <si>
    <t>Office Chair</t>
  </si>
  <si>
    <t>Furniture</t>
  </si>
  <si>
    <t>P003</t>
  </si>
  <si>
    <t>Standing Desk</t>
  </si>
  <si>
    <t>P004</t>
  </si>
  <si>
    <t>Noise Headphones</t>
  </si>
  <si>
    <t>P005</t>
  </si>
  <si>
    <t>Webcam HD</t>
  </si>
  <si>
    <t>P006</t>
  </si>
  <si>
    <t>Monitor 27"</t>
  </si>
  <si>
    <t>P007</t>
  </si>
  <si>
    <t>Keyboard Mech</t>
  </si>
  <si>
    <t>P008</t>
  </si>
  <si>
    <t>Ergonomic Mouse</t>
  </si>
  <si>
    <t>P009</t>
  </si>
  <si>
    <t>Filing Cabinet</t>
  </si>
  <si>
    <t>P010</t>
  </si>
  <si>
    <t>Whiteboard</t>
  </si>
  <si>
    <t>Stationary</t>
  </si>
  <si>
    <t>🔍  XLOOKUP  —  Modern Lookup Formula</t>
  </si>
  <si>
    <t>📖 What is XLOOKUP?</t>
  </si>
  <si>
    <t>Syntax:</t>
  </si>
  <si>
    <t>xlookup(lookup_value, lookup_array, return_array, [if_not_found], [match_mode], [search_mode])</t>
  </si>
  <si>
    <t>lookup_value:</t>
  </si>
  <si>
    <t>The value you are searching for</t>
  </si>
  <si>
    <t>lookup_array:</t>
  </si>
  <si>
    <t>The column/row to search IN</t>
  </si>
  <si>
    <t>return_array:</t>
  </si>
  <si>
    <t>The column/row to return data FROM</t>
  </si>
  <si>
    <t>[if_not_found]:</t>
  </si>
  <si>
    <t>What to show when nothing is found  →  wrap with IFERROR or use this argument</t>
  </si>
  <si>
    <t>Advantage over VLOOKUP:</t>
  </si>
  <si>
    <t>✅  Can look left  ✅  Returns whole range  ✅  No column number needed  ✅  Built-in error handling</t>
  </si>
  <si>
    <t>EXAMPLE 1 — Look up Employee Name by ID</t>
  </si>
  <si>
    <t>Emp ID to Find</t>
  </si>
  <si>
    <t>E999</t>
  </si>
  <si>
    <t>EXAMPLE 2 — Product Lookup (from Product Table B)</t>
  </si>
  <si>
    <t>Selling Price</t>
  </si>
  <si>
    <t>Cost Price</t>
  </si>
  <si>
    <t>Profit Margin</t>
  </si>
  <si>
    <t>P099</t>
  </si>
  <si>
    <t>💡 Key Tips</t>
  </si>
  <si>
    <t>1. Use  "❌ Not Found"  as the 4th argument instead of wrapping in IFERROR — cleaner!</t>
  </si>
  <si>
    <t>2. To search from bottom: set search_mode to -1</t>
  </si>
  <si>
    <t>3. XLOOKUP works across sheets — just prefix the range with SheetName!</t>
  </si>
  <si>
    <t>4. For approximate match (e.g., grade ranges) set match_mode to 1 or -1</t>
  </si>
  <si>
    <t>🎯  INDEX + MATCH  —  The Power Combo</t>
  </si>
  <si>
    <t>📖 How INDEX-MATCH Works</t>
  </si>
  <si>
    <t>MATCH syntax:</t>
  </si>
  <si>
    <t>'=MATCH(lookup_value, lookup_array, [match_type])   →  Returns the POSITION (row/col number)</t>
  </si>
  <si>
    <t>INDEX syntax:</t>
  </si>
  <si>
    <t>'=INDEX(array, row_num, [col_num])   →  Returns the VALUE at a given position</t>
  </si>
  <si>
    <t>Combined:</t>
  </si>
  <si>
    <t>'=INDEX(return_range, MATCH(lookup_value, search_range, 0))   →  Returns value after finding position</t>
  </si>
  <si>
    <t>match_type=0:</t>
  </si>
  <si>
    <t>Exact match  (always use 0 for lookups)</t>
  </si>
  <si>
    <t>vs VLOOKUP:</t>
  </si>
  <si>
    <t>✅  Can look LEFT of search column  ✅  Column order doesn't matter  ✅  More flexible with dynamic ranges</t>
  </si>
  <si>
    <t>EXAMPLE 1 — Find Employee Info by Name (Left Lookup — impossible in VLOOKUP!)</t>
  </si>
  <si>
    <t>Unknown Person</t>
  </si>
  <si>
    <t>EXAMPLE 2 — Two-Criteria Match (Department + Region → Highest Salary)</t>
  </si>
  <si>
    <t>Count in Group</t>
  </si>
  <si>
    <t>Total Sales</t>
  </si>
  <si>
    <t>Avg Base Salary</t>
  </si>
  <si>
    <t>1. INDEX-MATCH never breaks when you insert/delete columns — VLOOKUP does!</t>
  </si>
  <si>
    <t>3. Wrap the whole formula in IFERROR to handle missing values gracefully.</t>
  </si>
  <si>
    <t>4. For 2D lookup: =INDEX(table, MATCH(row_val, row_range,0), MATCH(col_val, col_range,0))</t>
  </si>
  <si>
    <t>🌿  NESTED IFS  —  Conditional Logic Builder</t>
  </si>
  <si>
    <t>📖 IF vs IFS vs Nested IF</t>
  </si>
  <si>
    <t>Basic IF:</t>
  </si>
  <si>
    <t>'=IF(condition, value_if_true, value_if_false)</t>
  </si>
  <si>
    <t>Nested IF:</t>
  </si>
  <si>
    <t>'=IF(cond1, VAL1, IF(cond2, VAL2, IF(cond3, VAL3, default)))</t>
  </si>
  <si>
    <t>IFS function:</t>
  </si>
  <si>
    <t>'=ifs(cond1, VAL1, cond2, VAL2, cond3, VAL3, TRUE(), default)   ← Cleaner in Excel 2019+</t>
  </si>
  <si>
    <t>When to use:</t>
  </si>
  <si>
    <t>When you need to assign categories, grades, labels, or tiers based on multiple conditions</t>
  </si>
  <si>
    <t>Tip:</t>
  </si>
  <si>
    <t>Use IFS() for 3+ conditions — much easier to read than deeply nested IF</t>
  </si>
  <si>
    <t>EXAMPLE 1 — Performance Rating based on Sales Amount</t>
  </si>
  <si>
    <t>Rules:  &lt;50K=Low  |  50K–99K=Medium  |  100K–149K=High  |  ≥150K=Exceptional  |  0=No Sales Role</t>
  </si>
  <si>
    <t>Name</t>
  </si>
  <si>
    <t>Nested IF Rating</t>
  </si>
  <si>
    <t>IFS Rating</t>
  </si>
  <si>
    <t>Bonus Earned</t>
  </si>
  <si>
    <t>1. Keep nesting to max 3 levels — beyond that, use IFS() or CHOOSE() for readability.</t>
  </si>
  <si>
    <t>2. Order matters in nested IF: check from smallest to largest OR largest to smallest — be consistent.</t>
  </si>
  <si>
    <t>3. IFS() doesn't need a TRUE final condition but it's best practice to add TRUE, "Other" as a catch-all.</t>
  </si>
  <si>
    <t>4. Combine with AND/OR for multi-condition checks: =IF(AND(A1&gt;50, B1="Active"), "VIP", "Standard")</t>
  </si>
  <si>
    <t>➕  SUMIFS  —  Sum with Multiple Conditions</t>
  </si>
  <si>
    <t>📖 SUMIF vs SUMIFS</t>
  </si>
  <si>
    <t>SUMIF syntax:</t>
  </si>
  <si>
    <t>'=SUMIF(criteria_range, criteria, sum_range)   →  One condition only</t>
  </si>
  <si>
    <t>SUMIFS syntax:</t>
  </si>
  <si>
    <t>'=SUMIFS(sum_range, range1, crit1, range2, crit2, ...)   →  Multiple conditions</t>
  </si>
  <si>
    <t>Key difference:</t>
  </si>
  <si>
    <t>In SUMIFS, the SUM range comes FIRST — opposite of SUMIF!</t>
  </si>
  <si>
    <t>Use case:</t>
  </si>
  <si>
    <t>Total sales by department + region + year, budget analysis, conditional aggregation</t>
  </si>
  <si>
    <t>EXAMPLE 1 — Department × Region Sales Summary</t>
  </si>
  <si>
    <t>Department \ Region</t>
  </si>
  <si>
    <t>Grand Total</t>
  </si>
  <si>
    <t>GRAND TOTAL</t>
  </si>
  <si>
    <t>EXAMPLE 2 — Salary Budget: Active Senior Employees by Department</t>
  </si>
  <si>
    <t>Count (Active+Senior)</t>
  </si>
  <si>
    <t>Total Salary Budget</t>
  </si>
  <si>
    <t>Avg Salary</t>
  </si>
  <si>
    <t>Sales vs Salary Ratio</t>
  </si>
  <si>
    <t>1. Sum range FIRST in SUMIFS, but criteria range FIRST in SUMIF — common mistake!</t>
  </si>
  <si>
    <t>2. Use wildcards: "Sales*" matches anything starting with 'Sales'; "*Manager*" matches if contains 'Manager'</t>
  </si>
  <si>
    <t>3. Use comparison operators in quotes: "&gt;50000" or "&lt;&gt;Inactive" as criteria strings</t>
  </si>
  <si>
    <t>4. SUMPRODUCT can replace SUMIFS for complex array-based conditions: =SUMPRODUCT((C:C="Sales")*(D:D="North")*G:G)</t>
  </si>
  <si>
    <t>🛡️  IFERROR  —  Graceful Error Handling</t>
  </si>
  <si>
    <t>📖 Understanding IFERROR</t>
  </si>
  <si>
    <t>'=IFERROR(value, value_if_error)</t>
  </si>
  <si>
    <t>What it catches:</t>
  </si>
  <si>
    <t>Catches these Excel error types: N/A, VALUE!, REF!, DIV/0!, NUM!, NAME?, NULL!</t>
  </si>
  <si>
    <t>IFNA vs IFERROR:</t>
  </si>
  <si>
    <t>Use IFNA when you want only lookup errors caught; IFERROR for all errors</t>
  </si>
  <si>
    <t>Best practice:</t>
  </si>
  <si>
    <t>Add IFERROR LAST, after the inner formula works — don't use it to hide bugs!</t>
  </si>
  <si>
    <t>EXAMPLE 1 — Error Scenarios Side-by-Side</t>
  </si>
  <si>
    <t>Scenario</t>
  </si>
  <si>
    <t>Without IFERROR (raw)</t>
  </si>
  <si>
    <t>With IFERROR (clean)</t>
  </si>
  <si>
    <t>Notes</t>
  </si>
  <si>
    <t>Division by zero</t>
  </si>
  <si>
    <t>WITHOUT IFERROR: =A1/0 gives error</t>
  </si>
  <si>
    <t>Intentional error demo — IFERROR wraps this</t>
  </si>
  <si>
    <t>ID not in lookup</t>
  </si>
  <si>
    <t>WITHOUT IFERROR: XLOOKUP for missing ID gives error</t>
  </si>
  <si>
    <t>Looking up ID that doesn't exist</t>
  </si>
  <si>
    <t>Empty cell division</t>
  </si>
  <si>
    <t>WITHOUT IFERROR: dividing by blank cell gives error</t>
  </si>
  <si>
    <t>Sales/Salary ratio when either is 0 or blank</t>
  </si>
  <si>
    <t>MATCH for missing value</t>
  </si>
  <si>
    <t>WITHOUT IFERROR: MATCH for non-existent value gives error</t>
  </si>
  <si>
    <t>Index out of range</t>
  </si>
  <si>
    <t>WITHOUT IFERROR: INDEX beyond range gives error</t>
  </si>
  <si>
    <t>Asking for row 99 in a 6-row array</t>
  </si>
  <si>
    <t>EXAMPLE 2 — Full Formula with IFERROR: Commission Calculator</t>
  </si>
  <si>
    <t>Commission Rate</t>
  </si>
  <si>
    <t>Commission ₹</t>
  </si>
  <si>
    <t>Salary+Commission</t>
  </si>
  <si>
    <t>Pct Increase</t>
  </si>
  <si>
    <t>1. Return 0 for numbers, "" for text, or a message like "N/A" — choose based on context.</t>
  </si>
  <si>
    <t>3. Nested: =IFERROR(IFERROR(formula1, formula2), "Both failed") — try formula2 if formula1 errors</t>
  </si>
  <si>
    <t>4. In SUMIFS/COUNTIFS you don't need IFERROR — they return 0 naturally when no match.</t>
  </si>
  <si>
    <t>📝  PRACTICE DATASET  —  Student Exam Records (New Data to Practice)</t>
  </si>
  <si>
    <t>Apply all 5 formulas independently using this fresh dataset</t>
  </si>
  <si>
    <t>TABLE — Student Marks Dataset (Rows 5–25)</t>
  </si>
  <si>
    <t>Student ID</t>
  </si>
  <si>
    <t>Student Name</t>
  </si>
  <si>
    <t>Stream</t>
  </si>
  <si>
    <t>Class</t>
  </si>
  <si>
    <t>Math</t>
  </si>
  <si>
    <t>Science</t>
  </si>
  <si>
    <t>English</t>
  </si>
  <si>
    <t>Social Studies</t>
  </si>
  <si>
    <t>Attendance</t>
  </si>
  <si>
    <t>Average</t>
  </si>
  <si>
    <t>Grade</t>
  </si>
  <si>
    <t>S001</t>
  </si>
  <si>
    <t>Aarav Jain</t>
  </si>
  <si>
    <t>10-A</t>
  </si>
  <si>
    <t>Present</t>
  </si>
  <si>
    <t>S002</t>
  </si>
  <si>
    <t>Bhavna Rao</t>
  </si>
  <si>
    <t>Arts</t>
  </si>
  <si>
    <t>11-B</t>
  </si>
  <si>
    <t>S003</t>
  </si>
  <si>
    <t>Chirag Modi</t>
  </si>
  <si>
    <t>Commerce</t>
  </si>
  <si>
    <t>12-A</t>
  </si>
  <si>
    <t>S004</t>
  </si>
  <si>
    <t>Diya Patel</t>
  </si>
  <si>
    <t>10-B</t>
  </si>
  <si>
    <t>Absent</t>
  </si>
  <si>
    <t>S005</t>
  </si>
  <si>
    <t>Eshan Verma</t>
  </si>
  <si>
    <t>11-A</t>
  </si>
  <si>
    <t>S006</t>
  </si>
  <si>
    <t>Falak Singh</t>
  </si>
  <si>
    <t>12-B</t>
  </si>
  <si>
    <t>S007</t>
  </si>
  <si>
    <t>Gaurav Tiwari</t>
  </si>
  <si>
    <t>S008</t>
  </si>
  <si>
    <t>Hina Desai</t>
  </si>
  <si>
    <t>S009</t>
  </si>
  <si>
    <t>Ishaan Kapoor</t>
  </si>
  <si>
    <t>S010</t>
  </si>
  <si>
    <t>Jyoti Sharma</t>
  </si>
  <si>
    <t>S011</t>
  </si>
  <si>
    <t>Kiran Mehta</t>
  </si>
  <si>
    <t>S012</t>
  </si>
  <si>
    <t>Lavanya Nair</t>
  </si>
  <si>
    <t>S013</t>
  </si>
  <si>
    <t>Manav Gupta</t>
  </si>
  <si>
    <t>S014</t>
  </si>
  <si>
    <t>Nandita Roy</t>
  </si>
  <si>
    <t>S015</t>
  </si>
  <si>
    <t>Omar Sheikh</t>
  </si>
  <si>
    <t>S016</t>
  </si>
  <si>
    <t>Prachi Bose</t>
  </si>
  <si>
    <t>S017</t>
  </si>
  <si>
    <t>Qasim Ali</t>
  </si>
  <si>
    <t>S018</t>
  </si>
  <si>
    <t>Roshni Das</t>
  </si>
  <si>
    <t>S019</t>
  </si>
  <si>
    <t>Sahil Pillai</t>
  </si>
  <si>
    <t>S020</t>
  </si>
  <si>
    <t>Tanvi Yadav</t>
  </si>
  <si>
    <t>🏋️ PRACTICE EXERCISES — Write these formulas yourself!</t>
  </si>
  <si>
    <t>#</t>
  </si>
  <si>
    <t>Formula</t>
  </si>
  <si>
    <t>Task Description</t>
  </si>
  <si>
    <t>Answer (click to reveal)</t>
  </si>
  <si>
    <t>Your Answer →</t>
  </si>
  <si>
    <t>✓ Correct?</t>
  </si>
  <si>
    <t>Exercise 1</t>
  </si>
  <si>
    <t>XLOOKUP</t>
  </si>
  <si>
    <t>Find the Math score for Student ID 'S008'</t>
  </si>
  <si>
    <t>'=IFS(J6&gt;=90,"Gold",J6&gt;=75,"Silver",J6&gt;=60,"Bronze",TRUE,"None") -- or use nested IF: =IF(J6&gt;=90,"Gold",IF(J6&gt;=75,"Silver",IF(J6&gt;=60,"Bronze","None")))</t>
  </si>
  <si>
    <t>Exercise 2</t>
  </si>
  <si>
    <t>INDEX-MATCH</t>
  </si>
  <si>
    <t>Find the Student Name where English score is highest</t>
  </si>
  <si>
    <t>Exercise 3</t>
  </si>
  <si>
    <t>Nested IFS</t>
  </si>
  <si>
    <t>Assign scholarship: Avg≥90→Gold, Avg≥75→Silver, Avg≥60→Bronze, else None</t>
  </si>
  <si>
    <t>IFERROR(AVERAGE(E6:H6), 0)  -- removes the = so it shows as text example</t>
  </si>
  <si>
    <t>Exercise 4</t>
  </si>
  <si>
    <t>SUMIFS</t>
  </si>
  <si>
    <t>Total Science marks for Stream='Science' AND Attendance='Present'</t>
  </si>
  <si>
    <t>'=SUMIFS(F6:F25,C6:C25,"Science",I6:I25,"Present")</t>
  </si>
  <si>
    <t>Exercise 5</t>
  </si>
  <si>
    <t>IFERROR</t>
  </si>
  <si>
    <t>Safe average: =IFERROR(AVERAGE(E6:H6), 0) — try it for student S004 (absent)</t>
  </si>
  <si>
    <t>Exercise 6</t>
  </si>
  <si>
    <t>Combined</t>
  </si>
  <si>
    <t>XLOOKUP + IFERROR: Get grade of student 'S020', show 'Unknown' if not found</t>
  </si>
  <si>
    <t>📊 SUMMARY STATS — Practice SUMIFS &amp; COUNTIFS here</t>
  </si>
  <si>
    <t>Total Students</t>
  </si>
  <si>
    <t>Avg Math</t>
  </si>
  <si>
    <t>Avg Science</t>
  </si>
  <si>
    <t>Top Scorer</t>
  </si>
  <si>
    <t>📋  FORMULA CHEAT SHEET  —  Quick Reference</t>
  </si>
  <si>
    <t>Full Syntax</t>
  </si>
  <si>
    <t>Purpose</t>
  </si>
  <si>
    <t>Example</t>
  </si>
  <si>
    <t>'=xlookup(lookup_val, lookup_array, return_array, [if_not_found], [match_mode], [search_mode])</t>
  </si>
  <si>
    <t>Modern lookup — works left/right, no column number needed</t>
  </si>
  <si>
    <t>'=xlookup("E001",A:A,B:B,"Not Found")</t>
  </si>
  <si>
    <t>INDEX</t>
  </si>
  <si>
    <t>'=INDEX(array, row_num, [col_num])</t>
  </si>
  <si>
    <t>Returns the value at a given position in a range</t>
  </si>
  <si>
    <t>'=INDEX(B6:B30, 5)  →  returns value in row 5</t>
  </si>
  <si>
    <t>MATCH</t>
  </si>
  <si>
    <t>'=MATCH(lookup_val, lookup_array, [match_type])</t>
  </si>
  <si>
    <t>Returns the position number of a value in a range (use 0 for exact match)</t>
  </si>
  <si>
    <t>'=MATCH("Ravi",B6:B30,0)  →  returns row number</t>
  </si>
  <si>
    <t>INDEX+MATCH</t>
  </si>
  <si>
    <t>'=INDEX(return_col, MATCH(lookup_val, search_col, 0))</t>
  </si>
  <si>
    <t>Power combo: find position with MATCH, get value with INDEX</t>
  </si>
  <si>
    <t>'=INDEX(F6:F30, MATCH("E005",A6:A30,0))</t>
  </si>
  <si>
    <t>IF</t>
  </si>
  <si>
    <t>Single conditional check</t>
  </si>
  <si>
    <t>'=IF(G6&gt;100000,"High","Low")</t>
  </si>
  <si>
    <t>Nested IF</t>
  </si>
  <si>
    <t>'=IF(C1,V1, IF(C2,V2, IF(C3,V3, default)))</t>
  </si>
  <si>
    <t>Multiple conditions chained — max 3 levels recommended</t>
  </si>
  <si>
    <t>'=IF(G6&gt;150000,"Exceptional",IF(G6&gt;100000,"High","Low"))</t>
  </si>
  <si>
    <t>IFS</t>
  </si>
  <si>
    <t>'=ifs(cond1,VAL1, cond2,VAL2, ..., TRUE(), default)</t>
  </si>
  <si>
    <t>Cleaner alternative to Nested IF for 3+ conditions</t>
  </si>
  <si>
    <t>'=ifs(J6&gt;=90,"A+",J6&gt;=80,"A",TRUE(),"B")</t>
  </si>
  <si>
    <t>'=SUMIFS(sum_range, crit_range1, crit1, crit_range2, crit2, ...)</t>
  </si>
  <si>
    <t>Sum values that meet MULTIPLE conditions (sum_range is FIRST!)</t>
  </si>
  <si>
    <t>'=SUMIFS(G6:G30,C6:C30,"Sales",D6:D30,"North")</t>
  </si>
  <si>
    <t>COUNTIFS</t>
  </si>
  <si>
    <t>'=COUNTIFS(crit_range1, crit1, crit_range2, crit2, ...)</t>
  </si>
  <si>
    <t>Count rows meeting multiple conditions</t>
  </si>
  <si>
    <t>'=COUNTIFS(C6:C30,"Sales",J6:J30,"Active")</t>
  </si>
  <si>
    <t>AVERAGEIFS</t>
  </si>
  <si>
    <t>'=AVERAGEIFS(avg_range, crit_range1, crit1, ...)</t>
  </si>
  <si>
    <t>Average of values meeting multiple conditions</t>
  </si>
  <si>
    <t>'=AVERAGEIFS(F6:F30,C6:C30,"Sales",E6:E30,"Senior")</t>
  </si>
  <si>
    <t>'=IFERROR(formula, value_if_error)</t>
  </si>
  <si>
    <t>Catches ALL errors and returns a clean fallback value</t>
  </si>
  <si>
    <t>'=IFERROR(A1/B1, 0)</t>
  </si>
  <si>
    <t>IFNA</t>
  </si>
  <si>
    <t>'=ifna(formula, value_if_na)</t>
  </si>
  <si>
    <t>Only catches N/A errors from failed lookups. Other errors still display normally.</t>
  </si>
  <si>
    <t>'=ifna(VLOOKUP(A1,table,2,0),"Not Found")</t>
  </si>
  <si>
    <t>E027</t>
  </si>
  <si>
    <t xml:space="preserve">emp name </t>
  </si>
  <si>
    <t>dep</t>
  </si>
  <si>
    <t>level</t>
  </si>
  <si>
    <t>salary</t>
  </si>
  <si>
    <t>VLOOKup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</si>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</sst>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\x"/>
    <numFmt numFmtId="166" formatCode="0.0"/>
  </numFmts>
  <fonts count="1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9"/>
      <color rgb="FF1F3864"/>
      <name val="Courier New"/>
      <charset val="1"/>
    </font>
    <font>
      <b/>
      <sz val="10"/>
      <color rgb="FF1F3864"/>
      <name val="Arial"/>
      <charset val="1"/>
    </font>
    <font>
      <b/>
      <sz val="10"/>
      <name val="Arial"/>
      <charset val="1"/>
    </font>
    <font>
      <b/>
      <sz val="10"/>
      <color rgb="FFB45309"/>
      <name val="Arial"/>
      <charset val="1"/>
    </font>
    <font>
      <i/>
      <sz val="9"/>
      <color rgb="FF888888"/>
      <name val="Arial"/>
      <charset val="1"/>
    </font>
    <font>
      <sz val="11"/>
      <color theme="2"/>
      <name val="Calibri"/>
      <family val="2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3F2FD"/>
      </patternFill>
    </fill>
    <fill>
      <patternFill patternType="solid">
        <fgColor rgb="FFDEEAF1"/>
        <bgColor rgb="FFE8EAF6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FF9C4"/>
      </patternFill>
    </fill>
    <fill>
      <patternFill patternType="solid">
        <fgColor rgb="FFFCE4D6"/>
        <bgColor rgb="FFFBE9E7"/>
      </patternFill>
    </fill>
    <fill>
      <patternFill patternType="solid">
        <fgColor rgb="FFE8F5E9"/>
        <bgColor rgb="FFEBF3FB"/>
      </patternFill>
    </fill>
    <fill>
      <patternFill patternType="solid">
        <fgColor rgb="FFFFF9C4"/>
        <bgColor rgb="FFFFF2CC"/>
      </patternFill>
    </fill>
    <fill>
      <patternFill patternType="solid">
        <fgColor rgb="FFEAD1DC"/>
        <bgColor rgb="FFCCCCCC"/>
      </patternFill>
    </fill>
    <fill>
      <patternFill patternType="solid">
        <fgColor rgb="FFE3F2FD"/>
        <bgColor rgb="FFE0F7FA"/>
      </patternFill>
    </fill>
    <fill>
      <patternFill patternType="solid">
        <fgColor rgb="FFFFD700"/>
        <bgColor rgb="FFFF9900"/>
      </patternFill>
    </fill>
    <fill>
      <patternFill patternType="solid">
        <fgColor rgb="FFD9EAD3"/>
        <bgColor rgb="FFE2EFDA"/>
      </patternFill>
    </fill>
    <fill>
      <patternFill patternType="solid">
        <fgColor rgb="FFFFFFE0"/>
        <bgColor rgb="FFFFFFFF"/>
      </patternFill>
    </fill>
    <fill>
      <patternFill patternType="solid">
        <fgColor rgb="FFE8EAF6"/>
        <bgColor rgb="FFDEEAF1"/>
      </patternFill>
    </fill>
    <fill>
      <patternFill patternType="solid">
        <fgColor rgb="FFE0F7FA"/>
        <bgColor rgb="FFE3F2FD"/>
      </patternFill>
    </fill>
    <fill>
      <patternFill patternType="solid">
        <fgColor rgb="FFFBE9E7"/>
        <bgColor rgb="FFFCE4D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rgb="FFE3F2FD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9" fontId="5" fillId="4" borderId="1" xfId="0" applyNumberFormat="1" applyFont="1" applyFill="1" applyBorder="1"/>
    <xf numFmtId="0" fontId="4" fillId="0" borderId="1" xfId="0" applyFont="1" applyBorder="1"/>
    <xf numFmtId="9" fontId="5" fillId="0" borderId="1" xfId="0" applyNumberFormat="1" applyFont="1" applyBorder="1"/>
    <xf numFmtId="3" fontId="4" fillId="0" borderId="1" xfId="0" applyNumberFormat="1" applyFont="1" applyBorder="1"/>
    <xf numFmtId="3" fontId="4" fillId="4" borderId="1" xfId="0" applyNumberFormat="1" applyFont="1" applyFill="1" applyBorder="1"/>
    <xf numFmtId="0" fontId="7" fillId="0" borderId="1" xfId="0" applyFont="1" applyBorder="1"/>
    <xf numFmtId="0" fontId="5" fillId="0" borderId="1" xfId="0" applyFont="1" applyBorder="1"/>
    <xf numFmtId="0" fontId="5" fillId="4" borderId="1" xfId="0" applyFont="1" applyFill="1" applyBorder="1"/>
    <xf numFmtId="164" fontId="5" fillId="0" borderId="1" xfId="0" applyNumberFormat="1" applyFont="1" applyBorder="1"/>
    <xf numFmtId="164" fontId="5" fillId="4" borderId="1" xfId="0" applyNumberFormat="1" applyFont="1" applyFill="1" applyBorder="1"/>
    <xf numFmtId="3" fontId="5" fillId="4" borderId="1" xfId="0" applyNumberFormat="1" applyFont="1" applyFill="1" applyBorder="1"/>
    <xf numFmtId="3" fontId="5" fillId="0" borderId="1" xfId="0" applyNumberFormat="1" applyFont="1" applyBorder="1"/>
    <xf numFmtId="0" fontId="0" fillId="4" borderId="1" xfId="0" applyFill="1" applyBorder="1"/>
    <xf numFmtId="0" fontId="0" fillId="0" borderId="1" xfId="0" applyBorder="1"/>
    <xf numFmtId="3" fontId="0" fillId="0" borderId="1" xfId="0" applyNumberFormat="1" applyBorder="1"/>
    <xf numFmtId="3" fontId="0" fillId="4" borderId="1" xfId="0" applyNumberFormat="1" applyFill="1" applyBorder="1"/>
    <xf numFmtId="0" fontId="3" fillId="3" borderId="1" xfId="0" applyFont="1" applyFill="1" applyBorder="1"/>
    <xf numFmtId="3" fontId="7" fillId="13" borderId="1" xfId="0" applyNumberFormat="1" applyFont="1" applyFill="1" applyBorder="1"/>
    <xf numFmtId="0" fontId="3" fillId="2" borderId="1" xfId="0" applyFont="1" applyFill="1" applyBorder="1"/>
    <xf numFmtId="165" fontId="5" fillId="4" borderId="1" xfId="0" applyNumberFormat="1" applyFont="1" applyFill="1" applyBorder="1"/>
    <xf numFmtId="165" fontId="5" fillId="0" borderId="1" xfId="0" applyNumberFormat="1" applyFont="1" applyBorder="1"/>
    <xf numFmtId="0" fontId="7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6" fontId="5" fillId="4" borderId="1" xfId="0" applyNumberFormat="1" applyFont="1" applyFill="1" applyBorder="1"/>
    <xf numFmtId="166" fontId="5" fillId="0" borderId="1" xfId="0" applyNumberFormat="1" applyFont="1" applyBorder="1"/>
    <xf numFmtId="0" fontId="0" fillId="0" borderId="1" xfId="0" applyBorder="1" applyAlignment="1">
      <alignment vertical="top" wrapText="1"/>
    </xf>
    <xf numFmtId="0" fontId="0" fillId="15" borderId="1" xfId="0" applyFill="1" applyBorder="1"/>
    <xf numFmtId="0" fontId="7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7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vertical="top" wrapText="1"/>
    </xf>
    <xf numFmtId="0" fontId="4" fillId="16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7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vertical="top" wrapText="1"/>
    </xf>
    <xf numFmtId="0" fontId="4" fillId="17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vertical="top" wrapText="1"/>
    </xf>
    <xf numFmtId="0" fontId="4" fillId="18" borderId="1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6" fillId="5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vertical="top" wrapText="1"/>
    </xf>
    <xf numFmtId="0" fontId="6" fillId="7" borderId="2" xfId="0" applyFont="1" applyFill="1" applyBorder="1" applyAlignment="1">
      <alignment vertical="top" wrapText="1"/>
    </xf>
    <xf numFmtId="0" fontId="4" fillId="11" borderId="2" xfId="0" applyFont="1" applyFill="1" applyBorder="1" applyAlignment="1">
      <alignment vertical="top" wrapText="1"/>
    </xf>
    <xf numFmtId="0" fontId="8" fillId="1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vertical="top" wrapText="1"/>
    </xf>
    <xf numFmtId="0" fontId="4" fillId="14" borderId="2" xfId="0" applyFont="1" applyFill="1" applyBorder="1" applyAlignment="1">
      <alignment vertical="top" wrapText="1"/>
    </xf>
    <xf numFmtId="0" fontId="6" fillId="12" borderId="2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0" fillId="0" borderId="0" xfId="0" applyAlignment="1">
      <alignment horizontal="left"/>
    </xf>
    <xf numFmtId="0" fontId="10" fillId="19" borderId="0" xfId="0" applyFont="1" applyFill="1"/>
    <xf numFmtId="0" fontId="10" fillId="19" borderId="0" xfId="0" applyFont="1" applyFill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1" fillId="20" borderId="3" xfId="0" applyFont="1" applyFill="1" applyBorder="1"/>
    <xf numFmtId="0" fontId="11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EBF3FB"/>
      <rgbColor rgb="FF993366"/>
      <rgbColor rgb="FFFFF9C4"/>
      <rgbColor rgb="FFE0F7FA"/>
      <rgbColor rgb="FF660066"/>
      <rgbColor rgb="FFFF8080"/>
      <rgbColor rgb="FF0066CC"/>
      <rgbColor rgb="FFEAD1DC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3F2FD"/>
      <rgbColor rgb="FFD9EAD3"/>
      <rgbColor rgb="FFFFF2CC"/>
      <rgbColor rgb="FFDEEAF1"/>
      <rgbColor rgb="FFFBE9E7"/>
      <rgbColor rgb="FFE8EAF6"/>
      <rgbColor rgb="FFFCE4D6"/>
      <rgbColor rgb="FF2E75B6"/>
      <rgbColor rgb="FF33CCCC"/>
      <rgbColor rgb="FF99CC00"/>
      <rgbColor rgb="FFFFD700"/>
      <rgbColor rgb="FFFF9900"/>
      <rgbColor rgb="FFFF6600"/>
      <rgbColor rgb="FF666699"/>
      <rgbColor rgb="FFE8F5E9"/>
      <rgbColor rgb="FF1F3864"/>
      <rgbColor rgb="FF339966"/>
      <rgbColor rgb="FF003300"/>
      <rgbColor rgb="FF333300"/>
      <rgbColor rgb="FFB45309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topLeftCell="B1" zoomScaleNormal="100" workbookViewId="0">
      <pane ySplit="5" topLeftCell="A9" activePane="bottomLeft" state="frozen"/>
      <selection pane="bottomLeft" activeCell="R16" sqref="R16"/>
    </sheetView>
  </sheetViews>
  <sheetFormatPr defaultColWidth="8.6640625" defaultRowHeight="14.4" x14ac:dyDescent="0.3"/>
  <cols>
    <col min="1" max="1" width="9" customWidth="1"/>
    <col min="2" max="2" width="18" customWidth="1"/>
    <col min="3" max="3" width="12" customWidth="1"/>
    <col min="4" max="4" width="8" customWidth="1"/>
    <col min="5" max="5" width="12" customWidth="1"/>
    <col min="6" max="7" width="14" customWidth="1"/>
    <col min="8" max="8" width="9" customWidth="1"/>
    <col min="9" max="9" width="6" customWidth="1"/>
    <col min="10" max="11" width="9" customWidth="1"/>
    <col min="13" max="13" width="10.5546875" bestFit="1" customWidth="1"/>
    <col min="14" max="14" width="16.33203125" style="70" customWidth="1"/>
    <col min="15" max="15" width="9.44140625" bestFit="1" customWidth="1"/>
  </cols>
  <sheetData>
    <row r="1" spans="1:14" ht="27.75" customHeight="1" x14ac:dyDescent="0.3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4" ht="21.75" customHeight="1" x14ac:dyDescent="0.3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4" spans="1:14" ht="21.75" customHeight="1" x14ac:dyDescent="0.3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spans="1:14" ht="1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 spans="1:14" ht="15" customHeight="1" x14ac:dyDescent="0.3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>
        <v>82000</v>
      </c>
      <c r="G6" s="2">
        <v>145000</v>
      </c>
      <c r="H6" s="2" t="s">
        <v>19</v>
      </c>
      <c r="I6" s="2">
        <v>2024</v>
      </c>
      <c r="J6" s="2" t="s">
        <v>20</v>
      </c>
      <c r="K6" s="3">
        <f t="shared" ref="K6:K30" si="0">IF(E6="Senior",15%,IF(E6="Mid",10%,5%))</f>
        <v>0.15</v>
      </c>
    </row>
    <row r="7" spans="1:14" ht="15" customHeight="1" x14ac:dyDescent="0.3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>
        <v>45000</v>
      </c>
      <c r="G7" s="4">
        <v>0</v>
      </c>
      <c r="H7" s="4" t="s">
        <v>19</v>
      </c>
      <c r="I7" s="4">
        <v>2024</v>
      </c>
      <c r="J7" s="4" t="s">
        <v>20</v>
      </c>
      <c r="K7" s="5">
        <f t="shared" si="0"/>
        <v>0.05</v>
      </c>
    </row>
    <row r="8" spans="1:14" ht="15" customHeight="1" x14ac:dyDescent="0.3">
      <c r="A8" s="2" t="s">
        <v>26</v>
      </c>
      <c r="B8" s="2" t="s">
        <v>27</v>
      </c>
      <c r="C8" s="2" t="s">
        <v>16</v>
      </c>
      <c r="D8" s="2" t="s">
        <v>28</v>
      </c>
      <c r="E8" s="2" t="s">
        <v>29</v>
      </c>
      <c r="F8" s="2">
        <v>61000</v>
      </c>
      <c r="G8" s="2">
        <v>98000</v>
      </c>
      <c r="H8" s="2" t="s">
        <v>30</v>
      </c>
      <c r="I8" s="2">
        <v>2024</v>
      </c>
      <c r="J8" s="2" t="s">
        <v>20</v>
      </c>
      <c r="K8" s="3">
        <f t="shared" si="0"/>
        <v>0.1</v>
      </c>
    </row>
    <row r="9" spans="1:14" ht="15" customHeight="1" x14ac:dyDescent="0.3">
      <c r="A9" s="4" t="s">
        <v>31</v>
      </c>
      <c r="B9" s="4" t="s">
        <v>32</v>
      </c>
      <c r="C9" s="4" t="s">
        <v>33</v>
      </c>
      <c r="D9" s="4" t="s">
        <v>34</v>
      </c>
      <c r="E9" s="4" t="s">
        <v>18</v>
      </c>
      <c r="F9" s="4">
        <v>78000</v>
      </c>
      <c r="G9" s="4">
        <v>0</v>
      </c>
      <c r="H9" s="4" t="s">
        <v>19</v>
      </c>
      <c r="I9" s="4">
        <v>2024</v>
      </c>
      <c r="J9" s="4" t="s">
        <v>20</v>
      </c>
      <c r="K9" s="5">
        <f t="shared" si="0"/>
        <v>0.15</v>
      </c>
      <c r="M9" s="75" t="s">
        <v>390</v>
      </c>
      <c r="N9" s="75"/>
    </row>
    <row r="10" spans="1:14" ht="15" customHeight="1" x14ac:dyDescent="0.3">
      <c r="A10" s="2" t="s">
        <v>35</v>
      </c>
      <c r="B10" s="2" t="s">
        <v>36</v>
      </c>
      <c r="C10" s="2" t="s">
        <v>16</v>
      </c>
      <c r="D10" s="2" t="s">
        <v>17</v>
      </c>
      <c r="E10" s="2" t="s">
        <v>18</v>
      </c>
      <c r="F10" s="2">
        <v>91000</v>
      </c>
      <c r="G10" s="2">
        <v>162000</v>
      </c>
      <c r="H10" s="2" t="s">
        <v>30</v>
      </c>
      <c r="I10" s="2">
        <v>2024</v>
      </c>
      <c r="J10" s="2" t="s">
        <v>20</v>
      </c>
      <c r="K10" s="3">
        <f t="shared" si="0"/>
        <v>0.15</v>
      </c>
      <c r="M10" s="71" t="s">
        <v>3</v>
      </c>
      <c r="N10" s="72" t="s">
        <v>385</v>
      </c>
    </row>
    <row r="11" spans="1:14" ht="15" customHeight="1" x14ac:dyDescent="0.3">
      <c r="A11" s="4" t="s">
        <v>37</v>
      </c>
      <c r="B11" s="4" t="s">
        <v>38</v>
      </c>
      <c r="C11" s="4" t="s">
        <v>39</v>
      </c>
      <c r="D11" s="4" t="s">
        <v>24</v>
      </c>
      <c r="E11" s="4" t="s">
        <v>29</v>
      </c>
      <c r="F11" s="4">
        <v>52000</v>
      </c>
      <c r="G11" s="4">
        <v>0</v>
      </c>
      <c r="H11" s="4" t="s">
        <v>40</v>
      </c>
      <c r="I11" s="4">
        <v>2024</v>
      </c>
      <c r="J11" s="4" t="s">
        <v>20</v>
      </c>
      <c r="K11" s="5">
        <f t="shared" si="0"/>
        <v>0.1</v>
      </c>
      <c r="M11" s="73" t="s">
        <v>386</v>
      </c>
      <c r="N11" s="74" t="str">
        <f>IFERROR(_xlfn.XLOOKUP(N10,$A$6:$K$30,2,TRUE),"Not Found")</f>
        <v>Not Found</v>
      </c>
    </row>
    <row r="12" spans="1:14" ht="15" customHeight="1" x14ac:dyDescent="0.3">
      <c r="A12" s="2" t="s">
        <v>41</v>
      </c>
      <c r="B12" s="2" t="s">
        <v>42</v>
      </c>
      <c r="C12" s="2" t="s">
        <v>16</v>
      </c>
      <c r="D12" s="2" t="s">
        <v>34</v>
      </c>
      <c r="E12" s="2" t="s">
        <v>25</v>
      </c>
      <c r="F12" s="2">
        <v>38000</v>
      </c>
      <c r="G12" s="2">
        <v>54000</v>
      </c>
      <c r="H12" s="2" t="s">
        <v>40</v>
      </c>
      <c r="I12" s="2">
        <v>2024</v>
      </c>
      <c r="J12" s="2" t="s">
        <v>20</v>
      </c>
      <c r="K12" s="3">
        <f t="shared" si="0"/>
        <v>0.05</v>
      </c>
      <c r="M12" s="73" t="s">
        <v>387</v>
      </c>
      <c r="N12" s="74" t="str">
        <f>VLOOKUP(N10,$A$6:$K$30,3,TRUE)</f>
        <v>Sales</v>
      </c>
    </row>
    <row r="13" spans="1:14" ht="15" customHeight="1" x14ac:dyDescent="0.3">
      <c r="A13" s="4" t="s">
        <v>43</v>
      </c>
      <c r="B13" s="4" t="s">
        <v>44</v>
      </c>
      <c r="C13" s="4" t="s">
        <v>45</v>
      </c>
      <c r="D13" s="4" t="s">
        <v>28</v>
      </c>
      <c r="E13" s="4" t="s">
        <v>18</v>
      </c>
      <c r="F13" s="4">
        <v>85000</v>
      </c>
      <c r="G13" s="4">
        <v>0</v>
      </c>
      <c r="H13" s="4" t="s">
        <v>30</v>
      </c>
      <c r="I13" s="4">
        <v>2024</v>
      </c>
      <c r="J13" s="4" t="s">
        <v>20</v>
      </c>
      <c r="K13" s="5">
        <f t="shared" si="0"/>
        <v>0.15</v>
      </c>
      <c r="M13" s="73" t="s">
        <v>388</v>
      </c>
      <c r="N13" s="74" t="str">
        <f>VLOOKUP(N10,$A$6:$K$30,5,TRUE)</f>
        <v>Junior</v>
      </c>
    </row>
    <row r="14" spans="1:14" ht="15" customHeight="1" x14ac:dyDescent="0.3">
      <c r="A14" s="2" t="s">
        <v>46</v>
      </c>
      <c r="B14" s="2" t="s">
        <v>47</v>
      </c>
      <c r="C14" s="2" t="s">
        <v>16</v>
      </c>
      <c r="D14" s="2" t="s">
        <v>24</v>
      </c>
      <c r="E14" s="2" t="s">
        <v>29</v>
      </c>
      <c r="F14" s="2">
        <v>67000</v>
      </c>
      <c r="G14" s="2">
        <v>112000</v>
      </c>
      <c r="H14" s="2" t="s">
        <v>48</v>
      </c>
      <c r="I14" s="2">
        <v>2024</v>
      </c>
      <c r="J14" s="2" t="s">
        <v>20</v>
      </c>
      <c r="K14" s="3">
        <f t="shared" si="0"/>
        <v>0.1</v>
      </c>
      <c r="M14" s="73" t="s">
        <v>389</v>
      </c>
      <c r="N14" s="74">
        <f>VLOOKUP(N10,$A$6:$K$30,6,TRUE)</f>
        <v>37000</v>
      </c>
    </row>
    <row r="15" spans="1:14" ht="15" customHeight="1" x14ac:dyDescent="0.3">
      <c r="A15" s="4" t="s">
        <v>49</v>
      </c>
      <c r="B15" s="4" t="s">
        <v>50</v>
      </c>
      <c r="C15" s="4" t="s">
        <v>23</v>
      </c>
      <c r="D15" s="4" t="s">
        <v>17</v>
      </c>
      <c r="E15" s="4" t="s">
        <v>18</v>
      </c>
      <c r="F15" s="4">
        <v>74000</v>
      </c>
      <c r="G15" s="4">
        <v>0</v>
      </c>
      <c r="H15" s="4" t="s">
        <v>48</v>
      </c>
      <c r="I15" s="4">
        <v>2024</v>
      </c>
      <c r="J15" s="4" t="s">
        <v>20</v>
      </c>
      <c r="K15" s="5">
        <f t="shared" si="0"/>
        <v>0.15</v>
      </c>
    </row>
    <row r="16" spans="1:14" ht="15" customHeight="1" x14ac:dyDescent="0.3">
      <c r="A16" s="2" t="s">
        <v>51</v>
      </c>
      <c r="B16" s="2" t="s">
        <v>52</v>
      </c>
      <c r="C16" s="2" t="s">
        <v>16</v>
      </c>
      <c r="D16" s="2" t="s">
        <v>28</v>
      </c>
      <c r="E16" s="2" t="s">
        <v>25</v>
      </c>
      <c r="F16" s="2">
        <v>41000</v>
      </c>
      <c r="G16" s="2">
        <v>63000</v>
      </c>
      <c r="H16" s="2" t="s">
        <v>19</v>
      </c>
      <c r="I16" s="2">
        <v>2024</v>
      </c>
      <c r="J16" s="2" t="s">
        <v>53</v>
      </c>
      <c r="K16" s="3">
        <f t="shared" si="0"/>
        <v>0.05</v>
      </c>
    </row>
    <row r="17" spans="1:15" ht="15" customHeight="1" x14ac:dyDescent="0.3">
      <c r="A17" s="4" t="s">
        <v>54</v>
      </c>
      <c r="B17" s="4" t="s">
        <v>55</v>
      </c>
      <c r="C17" s="4" t="s">
        <v>33</v>
      </c>
      <c r="D17" s="4" t="s">
        <v>24</v>
      </c>
      <c r="E17" s="4" t="s">
        <v>29</v>
      </c>
      <c r="F17" s="4">
        <v>59000</v>
      </c>
      <c r="G17" s="4">
        <v>0</v>
      </c>
      <c r="H17" s="4" t="s">
        <v>30</v>
      </c>
      <c r="I17" s="4">
        <v>2024</v>
      </c>
      <c r="J17" s="4" t="s">
        <v>20</v>
      </c>
      <c r="K17" s="5">
        <f t="shared" si="0"/>
        <v>0.1</v>
      </c>
      <c r="M17" s="76" t="s">
        <v>391</v>
      </c>
      <c r="N17" s="76"/>
    </row>
    <row r="18" spans="1:15" ht="15" customHeight="1" x14ac:dyDescent="0.3">
      <c r="A18" s="2" t="s">
        <v>56</v>
      </c>
      <c r="B18" s="2" t="s">
        <v>57</v>
      </c>
      <c r="C18" s="2" t="s">
        <v>16</v>
      </c>
      <c r="D18" s="2" t="s">
        <v>34</v>
      </c>
      <c r="E18" s="2" t="s">
        <v>18</v>
      </c>
      <c r="F18" s="2">
        <v>88000</v>
      </c>
      <c r="G18" s="2">
        <v>175000</v>
      </c>
      <c r="H18" s="2" t="s">
        <v>40</v>
      </c>
      <c r="I18" s="2">
        <v>2024</v>
      </c>
      <c r="J18" s="2" t="s">
        <v>20</v>
      </c>
      <c r="K18" s="3">
        <f t="shared" si="0"/>
        <v>0.15</v>
      </c>
      <c r="M18" s="77" t="s">
        <v>16</v>
      </c>
      <c r="N18" s="73">
        <f>SUMIF(C6:C30,M18,F6:F30)</f>
        <v>856000</v>
      </c>
    </row>
    <row r="19" spans="1:15" ht="15" customHeight="1" x14ac:dyDescent="0.3">
      <c r="A19" s="4" t="s">
        <v>58</v>
      </c>
      <c r="B19" s="4" t="s">
        <v>59</v>
      </c>
      <c r="C19" s="4" t="s">
        <v>45</v>
      </c>
      <c r="D19" s="4" t="s">
        <v>17</v>
      </c>
      <c r="E19" s="4" t="s">
        <v>25</v>
      </c>
      <c r="F19" s="4">
        <v>42000</v>
      </c>
      <c r="G19" s="4">
        <v>0</v>
      </c>
      <c r="H19" s="4" t="s">
        <v>48</v>
      </c>
      <c r="I19" s="4">
        <v>2024</v>
      </c>
      <c r="J19" s="4" t="s">
        <v>20</v>
      </c>
      <c r="K19" s="5">
        <f t="shared" si="0"/>
        <v>0.05</v>
      </c>
      <c r="N19"/>
    </row>
    <row r="20" spans="1:15" ht="15" customHeight="1" x14ac:dyDescent="0.3">
      <c r="A20" s="2" t="s">
        <v>60</v>
      </c>
      <c r="B20" s="2" t="s">
        <v>61</v>
      </c>
      <c r="C20" s="2" t="s">
        <v>16</v>
      </c>
      <c r="D20" s="2" t="s">
        <v>24</v>
      </c>
      <c r="E20" s="2" t="s">
        <v>29</v>
      </c>
      <c r="F20" s="2">
        <v>64000</v>
      </c>
      <c r="G20" s="2">
        <v>107000</v>
      </c>
      <c r="H20" s="2" t="s">
        <v>19</v>
      </c>
      <c r="I20" s="2">
        <v>2025</v>
      </c>
      <c r="J20" s="2" t="s">
        <v>20</v>
      </c>
      <c r="K20" s="3">
        <f t="shared" si="0"/>
        <v>0.1</v>
      </c>
      <c r="N20"/>
    </row>
    <row r="21" spans="1:15" ht="15" customHeight="1" x14ac:dyDescent="0.3">
      <c r="A21" s="4" t="s">
        <v>62</v>
      </c>
      <c r="B21" s="4" t="s">
        <v>63</v>
      </c>
      <c r="C21" s="4" t="s">
        <v>39</v>
      </c>
      <c r="D21" s="4" t="s">
        <v>28</v>
      </c>
      <c r="E21" s="4" t="s">
        <v>18</v>
      </c>
      <c r="F21" s="4">
        <v>71000</v>
      </c>
      <c r="G21" s="4">
        <v>0</v>
      </c>
      <c r="H21" s="4" t="s">
        <v>30</v>
      </c>
      <c r="I21" s="4">
        <v>2025</v>
      </c>
      <c r="J21" s="4" t="s">
        <v>20</v>
      </c>
      <c r="K21" s="5">
        <f t="shared" si="0"/>
        <v>0.15</v>
      </c>
      <c r="M21" s="76" t="s">
        <v>323</v>
      </c>
      <c r="N21" s="76"/>
      <c r="O21" s="76"/>
    </row>
    <row r="22" spans="1:15" ht="15" customHeight="1" x14ac:dyDescent="0.3">
      <c r="A22" s="2" t="s">
        <v>64</v>
      </c>
      <c r="B22" s="2" t="s">
        <v>65</v>
      </c>
      <c r="C22" s="2" t="s">
        <v>16</v>
      </c>
      <c r="D22" s="2" t="s">
        <v>17</v>
      </c>
      <c r="E22" s="2" t="s">
        <v>18</v>
      </c>
      <c r="F22" s="2">
        <v>93000</v>
      </c>
      <c r="G22" s="2">
        <v>158000</v>
      </c>
      <c r="H22" s="2" t="s">
        <v>40</v>
      </c>
      <c r="I22" s="2">
        <v>2025</v>
      </c>
      <c r="J22" s="2" t="s">
        <v>20</v>
      </c>
      <c r="K22" s="3">
        <f t="shared" si="0"/>
        <v>0.15</v>
      </c>
      <c r="M22" s="73"/>
      <c r="N22" s="77" t="s">
        <v>17</v>
      </c>
      <c r="O22" s="78" t="s">
        <v>28</v>
      </c>
    </row>
    <row r="23" spans="1:15" ht="15" customHeight="1" x14ac:dyDescent="0.3">
      <c r="A23" s="4" t="s">
        <v>66</v>
      </c>
      <c r="B23" s="4" t="s">
        <v>67</v>
      </c>
      <c r="C23" s="4" t="s">
        <v>23</v>
      </c>
      <c r="D23" s="4" t="s">
        <v>34</v>
      </c>
      <c r="E23" s="4" t="s">
        <v>29</v>
      </c>
      <c r="F23" s="4">
        <v>55000</v>
      </c>
      <c r="G23" s="4">
        <v>0</v>
      </c>
      <c r="H23" s="4" t="s">
        <v>48</v>
      </c>
      <c r="I23" s="4">
        <v>2025</v>
      </c>
      <c r="J23" s="4" t="s">
        <v>20</v>
      </c>
      <c r="K23" s="5">
        <f t="shared" si="0"/>
        <v>0.1</v>
      </c>
      <c r="M23" s="77" t="s">
        <v>16</v>
      </c>
      <c r="N23" s="73">
        <f>SUMIFS($F$6:$F$30,$C$6:$C$30,M23,$D$6:$D$30,N22)</f>
        <v>303000</v>
      </c>
      <c r="O23" s="73">
        <f>SUMIFS($F$6:$F$30,$C$6:$C$30,M23,$D$6:$D$30,O22)</f>
        <v>141000</v>
      </c>
    </row>
    <row r="24" spans="1:15" ht="15" customHeight="1" x14ac:dyDescent="0.3">
      <c r="A24" s="2" t="s">
        <v>68</v>
      </c>
      <c r="B24" s="2" t="s">
        <v>69</v>
      </c>
      <c r="C24" s="2" t="s">
        <v>16</v>
      </c>
      <c r="D24" s="2" t="s">
        <v>28</v>
      </c>
      <c r="E24" s="2" t="s">
        <v>25</v>
      </c>
      <c r="F24" s="2">
        <v>39000</v>
      </c>
      <c r="G24" s="2">
        <v>71000</v>
      </c>
      <c r="H24" s="2" t="s">
        <v>19</v>
      </c>
      <c r="I24" s="2">
        <v>2025</v>
      </c>
      <c r="J24" s="2" t="s">
        <v>20</v>
      </c>
      <c r="K24" s="3">
        <f t="shared" si="0"/>
        <v>0.05</v>
      </c>
    </row>
    <row r="25" spans="1:15" ht="15" customHeight="1" x14ac:dyDescent="0.3">
      <c r="A25" s="4" t="s">
        <v>70</v>
      </c>
      <c r="B25" s="4" t="s">
        <v>71</v>
      </c>
      <c r="C25" s="4" t="s">
        <v>33</v>
      </c>
      <c r="D25" s="4" t="s">
        <v>24</v>
      </c>
      <c r="E25" s="4" t="s">
        <v>18</v>
      </c>
      <c r="F25" s="4">
        <v>82000</v>
      </c>
      <c r="G25" s="4">
        <v>0</v>
      </c>
      <c r="H25" s="4" t="s">
        <v>30</v>
      </c>
      <c r="I25" s="4">
        <v>2025</v>
      </c>
      <c r="J25" s="4" t="s">
        <v>20</v>
      </c>
      <c r="K25" s="5">
        <f t="shared" si="0"/>
        <v>0.15</v>
      </c>
    </row>
    <row r="26" spans="1:15" ht="15" customHeight="1" x14ac:dyDescent="0.3">
      <c r="A26" s="2" t="s">
        <v>72</v>
      </c>
      <c r="B26" s="2" t="s">
        <v>73</v>
      </c>
      <c r="C26" s="2" t="s">
        <v>16</v>
      </c>
      <c r="D26" s="2" t="s">
        <v>34</v>
      </c>
      <c r="E26" s="2" t="s">
        <v>29</v>
      </c>
      <c r="F26" s="2">
        <v>66000</v>
      </c>
      <c r="G26" s="2">
        <v>123000</v>
      </c>
      <c r="H26" s="2" t="s">
        <v>40</v>
      </c>
      <c r="I26" s="2">
        <v>2025</v>
      </c>
      <c r="J26" s="2" t="s">
        <v>20</v>
      </c>
      <c r="K26" s="3">
        <f t="shared" si="0"/>
        <v>0.1</v>
      </c>
    </row>
    <row r="27" spans="1:15" ht="15" customHeight="1" x14ac:dyDescent="0.3">
      <c r="A27" s="4" t="s">
        <v>74</v>
      </c>
      <c r="B27" s="4" t="s">
        <v>75</v>
      </c>
      <c r="C27" s="4" t="s">
        <v>45</v>
      </c>
      <c r="D27" s="4" t="s">
        <v>17</v>
      </c>
      <c r="E27" s="4" t="s">
        <v>29</v>
      </c>
      <c r="F27" s="4">
        <v>57000</v>
      </c>
      <c r="G27" s="4">
        <v>0</v>
      </c>
      <c r="H27" s="4" t="s">
        <v>48</v>
      </c>
      <c r="I27" s="4">
        <v>2025</v>
      </c>
      <c r="J27" s="4" t="s">
        <v>20</v>
      </c>
      <c r="K27" s="5">
        <f t="shared" si="0"/>
        <v>0.1</v>
      </c>
    </row>
    <row r="28" spans="1:15" ht="15" customHeight="1" x14ac:dyDescent="0.3">
      <c r="A28" s="2" t="s">
        <v>76</v>
      </c>
      <c r="B28" s="2" t="s">
        <v>77</v>
      </c>
      <c r="C28" s="2" t="s">
        <v>16</v>
      </c>
      <c r="D28" s="2" t="s">
        <v>24</v>
      </c>
      <c r="E28" s="2" t="s">
        <v>18</v>
      </c>
      <c r="F28" s="2">
        <v>89000</v>
      </c>
      <c r="G28" s="2">
        <v>141000</v>
      </c>
      <c r="H28" s="2" t="s">
        <v>19</v>
      </c>
      <c r="I28" s="2">
        <v>2025</v>
      </c>
      <c r="J28" s="2" t="s">
        <v>20</v>
      </c>
      <c r="K28" s="3">
        <f t="shared" si="0"/>
        <v>0.15</v>
      </c>
    </row>
    <row r="29" spans="1:15" ht="15" customHeight="1" x14ac:dyDescent="0.3">
      <c r="A29" s="4" t="s">
        <v>78</v>
      </c>
      <c r="B29" s="4" t="s">
        <v>79</v>
      </c>
      <c r="C29" s="4" t="s">
        <v>23</v>
      </c>
      <c r="D29" s="4" t="s">
        <v>28</v>
      </c>
      <c r="E29" s="4" t="s">
        <v>25</v>
      </c>
      <c r="F29" s="4">
        <v>44000</v>
      </c>
      <c r="G29" s="4">
        <v>0</v>
      </c>
      <c r="H29" s="4" t="s">
        <v>30</v>
      </c>
      <c r="I29" s="4">
        <v>2025</v>
      </c>
      <c r="J29" s="4" t="s">
        <v>53</v>
      </c>
      <c r="K29" s="5">
        <f t="shared" si="0"/>
        <v>0.05</v>
      </c>
    </row>
    <row r="30" spans="1:15" ht="15" customHeight="1" x14ac:dyDescent="0.3">
      <c r="A30" s="2" t="s">
        <v>80</v>
      </c>
      <c r="B30" s="2" t="s">
        <v>81</v>
      </c>
      <c r="C30" s="2" t="s">
        <v>16</v>
      </c>
      <c r="D30" s="2" t="s">
        <v>17</v>
      </c>
      <c r="E30" s="2" t="s">
        <v>25</v>
      </c>
      <c r="F30" s="2">
        <v>37000</v>
      </c>
      <c r="G30" s="2">
        <v>58000</v>
      </c>
      <c r="H30" s="2" t="s">
        <v>40</v>
      </c>
      <c r="I30" s="2">
        <v>2025</v>
      </c>
      <c r="J30" s="2" t="s">
        <v>20</v>
      </c>
      <c r="K30" s="3">
        <f t="shared" si="0"/>
        <v>0.05</v>
      </c>
    </row>
    <row r="33" spans="1:6" ht="21.75" customHeight="1" x14ac:dyDescent="0.3">
      <c r="A33" s="60" t="s">
        <v>82</v>
      </c>
      <c r="B33" s="60"/>
      <c r="C33" s="60"/>
      <c r="D33" s="60"/>
      <c r="E33" s="60"/>
      <c r="F33" s="60"/>
    </row>
    <row r="34" spans="1:6" ht="15" customHeight="1" x14ac:dyDescent="0.3">
      <c r="A34" s="1" t="s">
        <v>83</v>
      </c>
      <c r="B34" s="1" t="s">
        <v>84</v>
      </c>
      <c r="C34" s="1" t="s">
        <v>85</v>
      </c>
      <c r="D34" s="1" t="s">
        <v>86</v>
      </c>
      <c r="E34" s="1" t="s">
        <v>87</v>
      </c>
    </row>
    <row r="35" spans="1:6" ht="15" customHeight="1" x14ac:dyDescent="0.3">
      <c r="A35" s="4" t="s">
        <v>88</v>
      </c>
      <c r="B35" s="4" t="s">
        <v>89</v>
      </c>
      <c r="C35" s="4" t="s">
        <v>90</v>
      </c>
      <c r="D35" s="6">
        <v>85000</v>
      </c>
      <c r="E35" s="6">
        <v>65000</v>
      </c>
    </row>
    <row r="36" spans="1:6" ht="15" customHeight="1" x14ac:dyDescent="0.3">
      <c r="A36" s="2" t="s">
        <v>91</v>
      </c>
      <c r="B36" s="2" t="s">
        <v>92</v>
      </c>
      <c r="C36" s="2" t="s">
        <v>93</v>
      </c>
      <c r="D36" s="7">
        <v>12000</v>
      </c>
      <c r="E36" s="7">
        <v>7500</v>
      </c>
    </row>
    <row r="37" spans="1:6" ht="15" customHeight="1" x14ac:dyDescent="0.3">
      <c r="A37" s="4" t="s">
        <v>94</v>
      </c>
      <c r="B37" s="4" t="s">
        <v>95</v>
      </c>
      <c r="C37" s="4" t="s">
        <v>93</v>
      </c>
      <c r="D37" s="6">
        <v>25000</v>
      </c>
      <c r="E37" s="6">
        <v>18000</v>
      </c>
    </row>
    <row r="38" spans="1:6" ht="15" customHeight="1" x14ac:dyDescent="0.3">
      <c r="A38" s="2" t="s">
        <v>96</v>
      </c>
      <c r="B38" s="2" t="s">
        <v>97</v>
      </c>
      <c r="C38" s="2" t="s">
        <v>90</v>
      </c>
      <c r="D38" s="7">
        <v>15000</v>
      </c>
      <c r="E38" s="7">
        <v>10000</v>
      </c>
    </row>
    <row r="39" spans="1:6" ht="15" customHeight="1" x14ac:dyDescent="0.3">
      <c r="A39" s="4" t="s">
        <v>98</v>
      </c>
      <c r="B39" s="4" t="s">
        <v>99</v>
      </c>
      <c r="C39" s="4" t="s">
        <v>90</v>
      </c>
      <c r="D39" s="6">
        <v>8500</v>
      </c>
      <c r="E39" s="6">
        <v>5500</v>
      </c>
    </row>
    <row r="40" spans="1:6" ht="15" customHeight="1" x14ac:dyDescent="0.3">
      <c r="A40" s="2" t="s">
        <v>100</v>
      </c>
      <c r="B40" s="2" t="s">
        <v>101</v>
      </c>
      <c r="C40" s="2" t="s">
        <v>90</v>
      </c>
      <c r="D40" s="7">
        <v>35000</v>
      </c>
      <c r="E40" s="7">
        <v>26000</v>
      </c>
    </row>
    <row r="41" spans="1:6" ht="15" customHeight="1" x14ac:dyDescent="0.3">
      <c r="A41" s="4" t="s">
        <v>102</v>
      </c>
      <c r="B41" s="4" t="s">
        <v>103</v>
      </c>
      <c r="C41" s="4" t="s">
        <v>90</v>
      </c>
      <c r="D41" s="6">
        <v>6500</v>
      </c>
      <c r="E41" s="6">
        <v>4200</v>
      </c>
    </row>
    <row r="42" spans="1:6" ht="15" customHeight="1" x14ac:dyDescent="0.3">
      <c r="A42" s="2" t="s">
        <v>104</v>
      </c>
      <c r="B42" s="2" t="s">
        <v>105</v>
      </c>
      <c r="C42" s="2" t="s">
        <v>90</v>
      </c>
      <c r="D42" s="7">
        <v>4500</v>
      </c>
      <c r="E42" s="7">
        <v>2800</v>
      </c>
    </row>
    <row r="43" spans="1:6" ht="15" customHeight="1" x14ac:dyDescent="0.3">
      <c r="A43" s="4" t="s">
        <v>106</v>
      </c>
      <c r="B43" s="4" t="s">
        <v>107</v>
      </c>
      <c r="C43" s="4" t="s">
        <v>93</v>
      </c>
      <c r="D43" s="6">
        <v>18000</v>
      </c>
      <c r="E43" s="6">
        <v>13000</v>
      </c>
    </row>
    <row r="44" spans="1:6" ht="15" customHeight="1" x14ac:dyDescent="0.3">
      <c r="A44" s="2" t="s">
        <v>108</v>
      </c>
      <c r="B44" s="2" t="s">
        <v>109</v>
      </c>
      <c r="C44" s="2" t="s">
        <v>110</v>
      </c>
      <c r="D44" s="7">
        <v>3200</v>
      </c>
      <c r="E44" s="7">
        <v>1900</v>
      </c>
    </row>
  </sheetData>
  <mergeCells count="7">
    <mergeCell ref="A1:K1"/>
    <mergeCell ref="A2:K2"/>
    <mergeCell ref="A4:K4"/>
    <mergeCell ref="A33:F33"/>
    <mergeCell ref="M9:N9"/>
    <mergeCell ref="M17:N17"/>
    <mergeCell ref="M21:O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10" zoomScale="130" zoomScaleNormal="130" workbookViewId="0">
      <selection activeCell="G12" sqref="G12"/>
    </sheetView>
  </sheetViews>
  <sheetFormatPr defaultColWidth="8.6640625" defaultRowHeight="14.4" x14ac:dyDescent="0.3"/>
  <cols>
    <col min="1" max="1" width="14" customWidth="1"/>
    <col min="2" max="2" width="20" customWidth="1"/>
    <col min="3" max="9" width="14" customWidth="1"/>
  </cols>
  <sheetData>
    <row r="1" spans="1:9" ht="27.75" customHeight="1" x14ac:dyDescent="0.3">
      <c r="A1" s="61" t="s">
        <v>111</v>
      </c>
      <c r="B1" s="61"/>
      <c r="C1" s="61"/>
      <c r="D1" s="61"/>
      <c r="E1" s="61"/>
      <c r="F1" s="61"/>
      <c r="G1" s="61"/>
      <c r="H1" s="61"/>
      <c r="I1" s="61"/>
    </row>
    <row r="3" spans="1:9" ht="21.75" customHeight="1" x14ac:dyDescent="0.3">
      <c r="A3" s="60" t="s">
        <v>112</v>
      </c>
      <c r="B3" s="60"/>
      <c r="C3" s="60"/>
      <c r="D3" s="60"/>
      <c r="E3" s="60"/>
      <c r="F3" s="60"/>
      <c r="G3" s="60"/>
      <c r="H3" s="60"/>
      <c r="I3" s="60"/>
    </row>
    <row r="4" spans="1:9" ht="21.75" customHeight="1" x14ac:dyDescent="0.3">
      <c r="A4" s="58" t="s">
        <v>113</v>
      </c>
      <c r="B4" s="58"/>
      <c r="C4" s="59" t="s">
        <v>114</v>
      </c>
      <c r="D4" s="59"/>
      <c r="E4" s="59"/>
      <c r="F4" s="59"/>
      <c r="G4" s="59"/>
      <c r="H4" s="59"/>
      <c r="I4" s="59"/>
    </row>
    <row r="5" spans="1:9" ht="21.75" customHeight="1" x14ac:dyDescent="0.3">
      <c r="A5" s="58" t="s">
        <v>115</v>
      </c>
      <c r="B5" s="58"/>
      <c r="C5" s="59" t="s">
        <v>116</v>
      </c>
      <c r="D5" s="59"/>
      <c r="E5" s="59"/>
      <c r="F5" s="59"/>
      <c r="G5" s="59"/>
      <c r="H5" s="59"/>
      <c r="I5" s="59"/>
    </row>
    <row r="6" spans="1:9" ht="21.75" customHeight="1" x14ac:dyDescent="0.3">
      <c r="A6" s="58" t="s">
        <v>117</v>
      </c>
      <c r="B6" s="58"/>
      <c r="C6" s="59" t="s">
        <v>118</v>
      </c>
      <c r="D6" s="59"/>
      <c r="E6" s="59"/>
      <c r="F6" s="59"/>
      <c r="G6" s="59"/>
      <c r="H6" s="59"/>
      <c r="I6" s="59"/>
    </row>
    <row r="7" spans="1:9" ht="21.75" customHeight="1" x14ac:dyDescent="0.3">
      <c r="A7" s="58" t="s">
        <v>119</v>
      </c>
      <c r="B7" s="58"/>
      <c r="C7" s="59" t="s">
        <v>120</v>
      </c>
      <c r="D7" s="59"/>
      <c r="E7" s="59"/>
      <c r="F7" s="59"/>
      <c r="G7" s="59"/>
      <c r="H7" s="59"/>
      <c r="I7" s="59"/>
    </row>
    <row r="8" spans="1:9" ht="21.75" customHeight="1" x14ac:dyDescent="0.3">
      <c r="A8" s="58" t="s">
        <v>121</v>
      </c>
      <c r="B8" s="58"/>
      <c r="C8" s="59" t="s">
        <v>122</v>
      </c>
      <c r="D8" s="59"/>
      <c r="E8" s="59"/>
      <c r="F8" s="59"/>
      <c r="G8" s="59"/>
      <c r="H8" s="59"/>
      <c r="I8" s="59"/>
    </row>
    <row r="9" spans="1:9" ht="21.75" customHeight="1" x14ac:dyDescent="0.3">
      <c r="A9" s="58" t="s">
        <v>123</v>
      </c>
      <c r="B9" s="58"/>
      <c r="C9" s="59" t="s">
        <v>124</v>
      </c>
      <c r="D9" s="59"/>
      <c r="E9" s="59"/>
      <c r="F9" s="59"/>
      <c r="G9" s="59"/>
      <c r="H9" s="59"/>
      <c r="I9" s="59"/>
    </row>
    <row r="11" spans="1:9" ht="21.75" customHeight="1" x14ac:dyDescent="0.3">
      <c r="A11" s="60" t="s">
        <v>125</v>
      </c>
      <c r="B11" s="60"/>
      <c r="C11" s="60"/>
      <c r="D11" s="60"/>
      <c r="E11" s="60"/>
      <c r="F11" s="60"/>
      <c r="G11" s="60"/>
      <c r="H11" s="60"/>
      <c r="I11" s="60"/>
    </row>
    <row r="12" spans="1:9" ht="15" customHeight="1" x14ac:dyDescent="0.3">
      <c r="A12" s="1" t="s">
        <v>126</v>
      </c>
      <c r="B12" s="1" t="s">
        <v>4</v>
      </c>
      <c r="C12" s="1" t="s">
        <v>5</v>
      </c>
      <c r="D12" s="1" t="s">
        <v>7</v>
      </c>
      <c r="E12" s="1" t="s">
        <v>9</v>
      </c>
      <c r="F12" s="1" t="s">
        <v>12</v>
      </c>
    </row>
    <row r="13" spans="1:9" ht="15" customHeight="1" x14ac:dyDescent="0.3">
      <c r="A13" s="8" t="s">
        <v>35</v>
      </c>
      <c r="B13" s="9" t="str">
        <f>IFERROR(_xlfn.XLOOKUP(A13,'📦 Raw Data'!A$6:A$30,'📦 Raw Data'!B$6:B$30),"❌ Not Found")</f>
        <v>Karan Joshi</v>
      </c>
      <c r="C13" s="9" t="str">
        <f>IFERROR(_xlfn.XLOOKUP(A13,'📦 Raw Data'!A$6:A$30,'📦 Raw Data'!C$6:C$30),"❌ Not Found")</f>
        <v>Sales</v>
      </c>
      <c r="D13" s="9" t="str">
        <f>IFERROR(_xlfn.XLOOKUP(A13,'📦 Raw Data'!A$6:A$30,'📦 Raw Data'!E$6:E$30),"❌ Not Found")</f>
        <v>Senior</v>
      </c>
      <c r="E13" s="9">
        <f>IFERROR(_xlfn.XLOOKUP(A13,'📦 Raw Data'!A$6:A$30,'📦 Raw Data'!G$6:G$30),"❌ Not Found")</f>
        <v>162000</v>
      </c>
      <c r="F13" s="9" t="str">
        <f>IFERROR(_xlfn.XLOOKUP(A13,'📦 Raw Data'!A$6:A$30,'📦 Raw Data'!J$6:J$30),"❌ Not Found")</f>
        <v>Active</v>
      </c>
    </row>
    <row r="14" spans="1:9" ht="15" customHeight="1" x14ac:dyDescent="0.3">
      <c r="A14" s="8" t="s">
        <v>56</v>
      </c>
      <c r="B14" s="9" t="str">
        <f>IFERROR(_xlfn.SINGLE(_xlfn.XLOOKUP(A14,'📦 Raw Data'!A$6:A$30,'📦 Raw Data'!B$6:B$30)),"❌ Not Found")</f>
        <v>Rajesh Pandey</v>
      </c>
      <c r="C14" s="9" t="str">
        <f>IFERROR(_xlfn.XLOOKUP(A14,'📦 Raw Data'!A$6:A$30,'📦 Raw Data'!C$6:C$30),"❌ Not Found")</f>
        <v>Sales</v>
      </c>
      <c r="D14" s="9" t="str">
        <f>IFERROR(_xlfn.XLOOKUP(A14,'📦 Raw Data'!A$6:A$30,'📦 Raw Data'!E$6:E$30),"❌ Not Found")</f>
        <v>Senior</v>
      </c>
      <c r="E14" s="9">
        <f>IFERROR(_xlfn.XLOOKUP(A14,'📦 Raw Data'!A$6:A$30,'📦 Raw Data'!G$6:G$30),"❌ Not Found")</f>
        <v>175000</v>
      </c>
      <c r="F14" s="9" t="str">
        <f>IFERROR(_xlfn.XLOOKUP(A14,'📦 Raw Data'!A$6:A$30,'📦 Raw Data'!J$6:J$30),"❌ Not Found")</f>
        <v>Active</v>
      </c>
    </row>
    <row r="15" spans="1:9" ht="15" customHeight="1" x14ac:dyDescent="0.3">
      <c r="A15" s="8" t="s">
        <v>64</v>
      </c>
      <c r="B15" s="9" t="str">
        <f>IFERROR(_xlfn.SINGLE(_xlfn.XLOOKUP(A15,'📦 Raw Data'!A$6:A$30,'📦 Raw Data'!B$6:B$30)),"❌ Not Found")</f>
        <v>Arjun Kapoor</v>
      </c>
      <c r="C15" s="9" t="str">
        <f>IFERROR(_xlfn.XLOOKUP(A15,'📦 Raw Data'!A$6:A$30,'📦 Raw Data'!C$6:C$30),"❌ Not Found")</f>
        <v>Sales</v>
      </c>
      <c r="D15" s="9" t="str">
        <f>IFERROR(_xlfn.XLOOKUP(A15,'📦 Raw Data'!A$6:A$30,'📦 Raw Data'!E$6:E$30),"❌ Not Found")</f>
        <v>Senior</v>
      </c>
      <c r="E15" s="9">
        <f>IFERROR(_xlfn.XLOOKUP(A15,'📦 Raw Data'!A$6:A$30,'📦 Raw Data'!G$6:G$30),"❌ Not Found")</f>
        <v>158000</v>
      </c>
      <c r="F15" s="9" t="str">
        <f>IFERROR(_xlfn.XLOOKUP(A15,'📦 Raw Data'!A$6:A$30,'📦 Raw Data'!J$6:J$30),"❌ Not Found")</f>
        <v>Active</v>
      </c>
    </row>
    <row r="16" spans="1:9" ht="15" customHeight="1" x14ac:dyDescent="0.3">
      <c r="A16" s="8" t="s">
        <v>14</v>
      </c>
      <c r="B16" s="9" t="str">
        <f>IFERROR(_xlfn.SINGLE(_xlfn.XLOOKUP(A16,'📦 Raw Data'!A$6:A$30,'📦 Raw Data'!B$6:B$30)),"❌ Not Found")</f>
        <v>Amit Shah</v>
      </c>
      <c r="C16" s="9" t="str">
        <f>IFERROR(_xlfn.XLOOKUP(A16,'📦 Raw Data'!A$6:A$30,'📦 Raw Data'!C$6:C$30),"❌ Not Found")</f>
        <v>Sales</v>
      </c>
      <c r="D16" s="9" t="str">
        <f>IFERROR(_xlfn.XLOOKUP(A16,'📦 Raw Data'!A$6:A$30,'📦 Raw Data'!E$6:E$30),"❌ Not Found")</f>
        <v>Senior</v>
      </c>
      <c r="E16" s="9">
        <f>IFERROR(_xlfn.XLOOKUP(A16,'📦 Raw Data'!A$6:A$30,'📦 Raw Data'!G$6:G$30),"❌ Not Found")</f>
        <v>145000</v>
      </c>
      <c r="F16" s="9" t="str">
        <f>IFERROR(_xlfn.XLOOKUP(A16,'📦 Raw Data'!A$6:A$30,'📦 Raw Data'!J$6:J$30),"❌ Not Found")</f>
        <v>Active</v>
      </c>
    </row>
    <row r="17" spans="1:9" ht="15" customHeight="1" x14ac:dyDescent="0.3">
      <c r="A17" s="8" t="s">
        <v>127</v>
      </c>
      <c r="B17" s="9" t="str">
        <f>IFERROR(_xlfn.SINGLE(_xlfn.XLOOKUP(A17,'📦 Raw Data'!A$6:A$30,'📦 Raw Data'!B$6:B$30)),"❌ Not Found")</f>
        <v>❌ Not Found</v>
      </c>
      <c r="C17" s="9" t="str">
        <f>IFERROR(_xlfn.XLOOKUP(A17,'📦 Raw Data'!A$6:A$30,'📦 Raw Data'!C$6:C$30),"❌ Not Found")</f>
        <v>❌ Not Found</v>
      </c>
      <c r="D17" s="9" t="str">
        <f>IFERROR(_xlfn.XLOOKUP(A17,'📦 Raw Data'!A$6:A$30,'📦 Raw Data'!E$6:E$30),"❌ Not Found")</f>
        <v>❌ Not Found</v>
      </c>
      <c r="E17" s="9" t="str">
        <f>IFERROR(_xlfn.XLOOKUP(A17,'📦 Raw Data'!A$6:A$30,'📦 Raw Data'!G$6:G$30),"❌ Not Found")</f>
        <v>❌ Not Found</v>
      </c>
      <c r="F17" s="9" t="str">
        <f>IFERROR(_xlfn.XLOOKUP(A17,'📦 Raw Data'!A$6:A$30,'📦 Raw Data'!J$6:J$30),"❌ Not Found")</f>
        <v>❌ Not Found</v>
      </c>
    </row>
    <row r="19" spans="1:9" ht="21.75" customHeight="1" x14ac:dyDescent="0.3">
      <c r="A19" s="60" t="s">
        <v>128</v>
      </c>
      <c r="B19" s="60"/>
      <c r="C19" s="60"/>
      <c r="D19" s="60"/>
      <c r="E19" s="60"/>
      <c r="F19" s="60"/>
      <c r="G19" s="60"/>
      <c r="H19" s="60"/>
      <c r="I19" s="60"/>
    </row>
    <row r="20" spans="1:9" ht="15" customHeight="1" x14ac:dyDescent="0.3">
      <c r="A20" s="1" t="s">
        <v>83</v>
      </c>
      <c r="B20" s="1" t="s">
        <v>84</v>
      </c>
      <c r="C20" s="1" t="s">
        <v>85</v>
      </c>
      <c r="D20" s="1" t="s">
        <v>129</v>
      </c>
      <c r="E20" s="1" t="s">
        <v>130</v>
      </c>
      <c r="F20" s="1" t="s">
        <v>131</v>
      </c>
    </row>
    <row r="21" spans="1:9" ht="15" customHeight="1" x14ac:dyDescent="0.3">
      <c r="A21" s="8" t="s">
        <v>94</v>
      </c>
      <c r="B21" s="9" t="str">
        <f>IFERROR(_xlfn.XLOOKUP(A21,'📦 Raw Data'!A$35:A$44,'📦 Raw Data'!B$35:B$44),"❌ Not Found")</f>
        <v>Standing Desk</v>
      </c>
      <c r="C21" s="9" t="str">
        <f>IFERROR(_xlfn.XLOOKUP(A21,'📦 Raw Data'!A$35:A$44,'📦 Raw Data'!C$35:C$44),"❌ Not Found")</f>
        <v>Furniture</v>
      </c>
      <c r="D21" s="9">
        <f>IFERROR(_xlfn.XLOOKUP(A21,'📦 Raw Data'!A$35:A$44,'📦 Raw Data'!D$35:D$44),"❌ Not Found")</f>
        <v>25000</v>
      </c>
      <c r="E21" s="9">
        <f>IFERROR(_xlfn.XLOOKUP(A21,'📦 Raw Data'!A$35:A$44,'📦 Raw Data'!E$35:E$44),"❌ Not Found")</f>
        <v>18000</v>
      </c>
      <c r="F21" s="11">
        <f>IFERROR((D21-E21)/D21,"N/A")</f>
        <v>0.28000000000000003</v>
      </c>
    </row>
    <row r="22" spans="1:9" ht="15" customHeight="1" x14ac:dyDescent="0.3">
      <c r="A22" s="8" t="s">
        <v>100</v>
      </c>
      <c r="B22" s="9" t="str">
        <f>IFERROR(_xlfn.XLOOKUP(A22,'📦 Raw Data'!A$35:A$44,'📦 Raw Data'!B$35:B$44),"❌ Not Found")</f>
        <v>Monitor 27"</v>
      </c>
      <c r="C22" s="9" t="str">
        <f>IFERROR(_xlfn.XLOOKUP(A22,'📦 Raw Data'!A$35:A$44,'📦 Raw Data'!C$35:C$44),"❌ Not Found")</f>
        <v>Electronics</v>
      </c>
      <c r="D22" s="9">
        <f>IFERROR(_xlfn.XLOOKUP(A22,'📦 Raw Data'!A$35:A$44,'📦 Raw Data'!D$35:D$44),"❌ Not Found")</f>
        <v>35000</v>
      </c>
      <c r="E22" s="9">
        <f>IFERROR(_xlfn.XLOOKUP(A22,'📦 Raw Data'!A$35:A$44,'📦 Raw Data'!E$35:E$44),"❌ Not Found")</f>
        <v>26000</v>
      </c>
      <c r="F22" s="12">
        <f>IFERROR((D22-E22)/D22,"N/A")</f>
        <v>0.25714285714285712</v>
      </c>
    </row>
    <row r="23" spans="1:9" ht="15" customHeight="1" x14ac:dyDescent="0.3">
      <c r="A23" s="8" t="s">
        <v>108</v>
      </c>
      <c r="B23" s="9" t="str">
        <f>IFERROR(_xlfn.XLOOKUP(A23,'📦 Raw Data'!A$35:A$44,'📦 Raw Data'!B$35:B$44),"❌ Not Found")</f>
        <v>Whiteboard</v>
      </c>
      <c r="C23" s="9" t="str">
        <f>IFERROR(_xlfn.XLOOKUP(A23,'📦 Raw Data'!A$35:A$44,'📦 Raw Data'!C$35:C$44),"❌ Not Found")</f>
        <v>Stationary</v>
      </c>
      <c r="D23" s="9">
        <f>IFERROR(_xlfn.XLOOKUP(A23,'📦 Raw Data'!A$35:A$44,'📦 Raw Data'!D$35:D$44),"❌ Not Found")</f>
        <v>3200</v>
      </c>
      <c r="E23" s="9">
        <f>IFERROR(_xlfn.XLOOKUP(A23,'📦 Raw Data'!A$35:A$44,'📦 Raw Data'!E$35:E$44),"❌ Not Found")</f>
        <v>1900</v>
      </c>
      <c r="F23" s="11">
        <f>IFERROR((D23-E23)/D23,"N/A")</f>
        <v>0.40625</v>
      </c>
    </row>
    <row r="24" spans="1:9" ht="15" customHeight="1" x14ac:dyDescent="0.3">
      <c r="A24" s="8" t="s">
        <v>88</v>
      </c>
      <c r="B24" s="9" t="str">
        <f>IFERROR(_xlfn.XLOOKUP(A24,'📦 Raw Data'!A$35:A$44,'📦 Raw Data'!B$35:B$44),"❌ Not Found")</f>
        <v>Laptop Pro</v>
      </c>
      <c r="C24" s="9" t="str">
        <f>IFERROR(_xlfn.XLOOKUP(A24,'📦 Raw Data'!A$35:A$44,'📦 Raw Data'!C$35:C$44),"❌ Not Found")</f>
        <v>Electronics</v>
      </c>
      <c r="D24" s="9">
        <f>IFERROR(_xlfn.XLOOKUP(A24,'📦 Raw Data'!A$35:A$44,'📦 Raw Data'!D$35:D$44),"❌ Not Found")</f>
        <v>85000</v>
      </c>
      <c r="E24" s="9">
        <f>IFERROR(_xlfn.XLOOKUP(A24,'📦 Raw Data'!A$35:A$44,'📦 Raw Data'!E$35:E$44),"❌ Not Found")</f>
        <v>65000</v>
      </c>
      <c r="F24" s="12">
        <f>IFERROR((D24-E24)/D24,"N/A")</f>
        <v>0.23529411764705882</v>
      </c>
    </row>
    <row r="25" spans="1:9" ht="15" customHeight="1" x14ac:dyDescent="0.3">
      <c r="A25" s="8" t="s">
        <v>132</v>
      </c>
      <c r="B25" s="9" t="str">
        <f>IFERROR(_xlfn.XLOOKUP(A25,'📦 Raw Data'!A$35:A$44,'📦 Raw Data'!B$35:B$44),"❌ Not Found")</f>
        <v>❌ Not Found</v>
      </c>
      <c r="C25" s="9" t="str">
        <f>IFERROR(_xlfn.XLOOKUP(A25,'📦 Raw Data'!A$35:A$44,'📦 Raw Data'!C$35:C$44),"❌ Not Found")</f>
        <v>❌ Not Found</v>
      </c>
      <c r="D25" s="9" t="str">
        <f>IFERROR(_xlfn.XLOOKUP(A25,'📦 Raw Data'!A$35:A$44,'📦 Raw Data'!D$35:D$44),"❌ Not Found")</f>
        <v>❌ Not Found</v>
      </c>
      <c r="E25" s="9" t="str">
        <f>IFERROR(_xlfn.XLOOKUP(A25,'📦 Raw Data'!A$35:A$44,'📦 Raw Data'!E$35:E$44),"❌ Not Found")</f>
        <v>❌ Not Found</v>
      </c>
      <c r="F25" s="11" t="str">
        <f>IFERROR((D25-E25)/D25,"N/A")</f>
        <v>N/A</v>
      </c>
    </row>
    <row r="27" spans="1:9" ht="21.75" customHeight="1" x14ac:dyDescent="0.3">
      <c r="A27" s="60" t="s">
        <v>133</v>
      </c>
      <c r="B27" s="60"/>
      <c r="C27" s="60"/>
      <c r="D27" s="60"/>
      <c r="E27" s="60"/>
      <c r="F27" s="60"/>
      <c r="G27" s="60"/>
      <c r="H27" s="60"/>
      <c r="I27" s="60"/>
    </row>
    <row r="28" spans="1:9" ht="18" customHeight="1" x14ac:dyDescent="0.3">
      <c r="A28" s="57" t="s">
        <v>134</v>
      </c>
      <c r="B28" s="57"/>
      <c r="C28" s="57"/>
      <c r="D28" s="57"/>
      <c r="E28" s="57"/>
      <c r="F28" s="57"/>
      <c r="G28" s="57"/>
      <c r="H28" s="57"/>
      <c r="I28" s="57"/>
    </row>
    <row r="29" spans="1:9" ht="18" customHeight="1" x14ac:dyDescent="0.3">
      <c r="A29" s="57" t="s">
        <v>135</v>
      </c>
      <c r="B29" s="57"/>
      <c r="C29" s="57"/>
      <c r="D29" s="57"/>
      <c r="E29" s="57"/>
      <c r="F29" s="57"/>
      <c r="G29" s="57"/>
      <c r="H29" s="57"/>
      <c r="I29" s="57"/>
    </row>
    <row r="30" spans="1:9" ht="18" customHeight="1" x14ac:dyDescent="0.3">
      <c r="A30" s="57" t="s">
        <v>136</v>
      </c>
      <c r="B30" s="57"/>
      <c r="C30" s="57"/>
      <c r="D30" s="57"/>
      <c r="E30" s="57"/>
      <c r="F30" s="57"/>
      <c r="G30" s="57"/>
      <c r="H30" s="57"/>
      <c r="I30" s="57"/>
    </row>
    <row r="31" spans="1:9" ht="18" customHeight="1" x14ac:dyDescent="0.3">
      <c r="A31" s="57" t="s">
        <v>137</v>
      </c>
      <c r="B31" s="57"/>
      <c r="C31" s="57"/>
      <c r="D31" s="57"/>
      <c r="E31" s="57"/>
      <c r="F31" s="57"/>
      <c r="G31" s="57"/>
      <c r="H31" s="57"/>
      <c r="I31" s="57"/>
    </row>
  </sheetData>
  <mergeCells count="21">
    <mergeCell ref="A1:I1"/>
    <mergeCell ref="A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28:I28"/>
    <mergeCell ref="A29:I29"/>
    <mergeCell ref="A30:I30"/>
    <mergeCell ref="A31:I31"/>
    <mergeCell ref="A9:B9"/>
    <mergeCell ref="C9:I9"/>
    <mergeCell ref="A11:I11"/>
    <mergeCell ref="A19:I19"/>
    <mergeCell ref="A27:I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topLeftCell="A7" zoomScaleNormal="100" workbookViewId="0">
      <selection activeCell="B12" sqref="B12"/>
    </sheetView>
  </sheetViews>
  <sheetFormatPr defaultColWidth="8.6640625" defaultRowHeight="14.4" x14ac:dyDescent="0.3"/>
  <cols>
    <col min="1" max="1" width="20" customWidth="1"/>
    <col min="2" max="2" width="14" customWidth="1"/>
    <col min="3" max="3" width="16" customWidth="1"/>
    <col min="4" max="4" width="14" customWidth="1"/>
    <col min="5" max="5" width="16" customWidth="1"/>
    <col min="6" max="9" width="14" customWidth="1"/>
  </cols>
  <sheetData>
    <row r="1" spans="1:9" ht="27.75" customHeight="1" x14ac:dyDescent="0.3">
      <c r="A1" s="61" t="s">
        <v>138</v>
      </c>
      <c r="B1" s="61"/>
      <c r="C1" s="61"/>
      <c r="D1" s="61"/>
      <c r="E1" s="61"/>
      <c r="F1" s="61"/>
      <c r="G1" s="61"/>
      <c r="H1" s="61"/>
      <c r="I1" s="61"/>
    </row>
    <row r="3" spans="1:9" ht="21.75" customHeight="1" x14ac:dyDescent="0.3">
      <c r="A3" s="60" t="s">
        <v>139</v>
      </c>
      <c r="B3" s="60"/>
      <c r="C3" s="60"/>
      <c r="D3" s="60"/>
      <c r="E3" s="60"/>
      <c r="F3" s="60"/>
      <c r="G3" s="60"/>
      <c r="H3" s="60"/>
      <c r="I3" s="60"/>
    </row>
    <row r="4" spans="1:9" ht="21.75" customHeight="1" x14ac:dyDescent="0.3">
      <c r="A4" s="63" t="s">
        <v>140</v>
      </c>
      <c r="B4" s="63"/>
      <c r="C4" s="59" t="s">
        <v>141</v>
      </c>
      <c r="D4" s="59"/>
      <c r="E4" s="59"/>
      <c r="F4" s="59"/>
      <c r="G4" s="59"/>
      <c r="H4" s="59"/>
      <c r="I4" s="59"/>
    </row>
    <row r="5" spans="1:9" ht="21.75" customHeight="1" x14ac:dyDescent="0.3">
      <c r="A5" s="63" t="s">
        <v>142</v>
      </c>
      <c r="B5" s="63"/>
      <c r="C5" s="59" t="s">
        <v>143</v>
      </c>
      <c r="D5" s="59"/>
      <c r="E5" s="59"/>
      <c r="F5" s="59"/>
      <c r="G5" s="59"/>
      <c r="H5" s="59"/>
      <c r="I5" s="59"/>
    </row>
    <row r="6" spans="1:9" ht="21.75" customHeight="1" x14ac:dyDescent="0.3">
      <c r="A6" s="63" t="s">
        <v>144</v>
      </c>
      <c r="B6" s="63"/>
      <c r="C6" s="59" t="s">
        <v>145</v>
      </c>
      <c r="D6" s="59"/>
      <c r="E6" s="59"/>
      <c r="F6" s="59"/>
      <c r="G6" s="59"/>
      <c r="H6" s="59"/>
      <c r="I6" s="59"/>
    </row>
    <row r="7" spans="1:9" ht="21.75" customHeight="1" x14ac:dyDescent="0.3">
      <c r="A7" s="63" t="s">
        <v>146</v>
      </c>
      <c r="B7" s="63"/>
      <c r="C7" s="59" t="s">
        <v>147</v>
      </c>
      <c r="D7" s="59"/>
      <c r="E7" s="59"/>
      <c r="F7" s="59"/>
      <c r="G7" s="59"/>
      <c r="H7" s="59"/>
      <c r="I7" s="59"/>
    </row>
    <row r="8" spans="1:9" ht="21.75" customHeight="1" x14ac:dyDescent="0.3">
      <c r="A8" s="63" t="s">
        <v>148</v>
      </c>
      <c r="B8" s="63"/>
      <c r="C8" s="59" t="s">
        <v>149</v>
      </c>
      <c r="D8" s="59"/>
      <c r="E8" s="59"/>
      <c r="F8" s="59"/>
      <c r="G8" s="59"/>
      <c r="H8" s="59"/>
      <c r="I8" s="59"/>
    </row>
    <row r="10" spans="1:9" ht="21.75" customHeight="1" x14ac:dyDescent="0.3">
      <c r="A10" s="60" t="s">
        <v>150</v>
      </c>
      <c r="B10" s="60"/>
      <c r="C10" s="60"/>
      <c r="D10" s="60"/>
      <c r="E10" s="60"/>
      <c r="F10" s="60"/>
      <c r="G10" s="60"/>
      <c r="H10" s="60"/>
      <c r="I10" s="60"/>
    </row>
    <row r="11" spans="1:9" ht="15" customHeight="1" x14ac:dyDescent="0.3">
      <c r="A11" s="1" t="s">
        <v>4</v>
      </c>
      <c r="B11" s="1" t="s">
        <v>3</v>
      </c>
      <c r="C11" s="1" t="s">
        <v>5</v>
      </c>
      <c r="D11" s="1" t="s">
        <v>8</v>
      </c>
      <c r="E11" s="1" t="s">
        <v>9</v>
      </c>
    </row>
    <row r="12" spans="1:9" ht="15" customHeight="1" x14ac:dyDescent="0.3">
      <c r="A12" s="8" t="s">
        <v>36</v>
      </c>
      <c r="B12" s="10" t="str">
        <f>IFERROR(INDEX('📦 Raw Data'!A$6:A$30,MATCH(A12,'📦 Raw Data'!B$6:B$30,0)),"Not Found")</f>
        <v>E005</v>
      </c>
      <c r="C12" s="10" t="str">
        <f>IFERROR(INDEX('📦 Raw Data'!C$6:C$30,MATCH(A12,'📦 Raw Data'!B$6:B$30,0)),"N/A")</f>
        <v>Sales</v>
      </c>
      <c r="D12" s="13">
        <f>IFERROR(INDEX('📦 Raw Data'!F$6:F$30,MATCH(A12,'📦 Raw Data'!B$6:B$30,0)),"N/A")</f>
        <v>91000</v>
      </c>
      <c r="E12" s="10">
        <f>IFERROR(INDEX('📦 Raw Data'!G$6:G$30,MATCH(A12,'📦 Raw Data'!B$6:B$30,0)),"N/A")</f>
        <v>162000</v>
      </c>
    </row>
    <row r="13" spans="1:9" ht="15" customHeight="1" x14ac:dyDescent="0.3">
      <c r="A13" s="8" t="s">
        <v>57</v>
      </c>
      <c r="B13" s="9" t="str">
        <f>IFERROR(INDEX('📦 Raw Data'!A$6:A$30,MATCH(A13,'📦 Raw Data'!B$6:B$30,0)),"Not Found")</f>
        <v>E013</v>
      </c>
      <c r="C13" s="9" t="str">
        <f>IFERROR(INDEX('📦 Raw Data'!C$6:C$30,MATCH(A13,'📦 Raw Data'!B$6:B$30,0)),"N/A")</f>
        <v>Sales</v>
      </c>
      <c r="D13" s="14">
        <f>IFERROR(INDEX('📦 Raw Data'!F$6:F$30,MATCH(A13,'📦 Raw Data'!B$6:B$30,0)),"N/A")</f>
        <v>88000</v>
      </c>
      <c r="E13" s="9">
        <f>IFERROR(INDEX('📦 Raw Data'!G$6:G$30,MATCH(A13,'📦 Raw Data'!B$6:B$30,0)),"N/A")</f>
        <v>175000</v>
      </c>
    </row>
    <row r="14" spans="1:9" ht="15" customHeight="1" x14ac:dyDescent="0.3">
      <c r="A14" s="8" t="s">
        <v>50</v>
      </c>
      <c r="B14" s="10" t="str">
        <f>IFERROR(INDEX('📦 Raw Data'!A$6:A$30,MATCH(A14,'📦 Raw Data'!B$6:B$30,0)),"Not Found")</f>
        <v>E010</v>
      </c>
      <c r="C14" s="10" t="str">
        <f>IFERROR(INDEX('📦 Raw Data'!C$6:C$30,MATCH(A14,'📦 Raw Data'!B$6:B$30,0)),"N/A")</f>
        <v>Marketing</v>
      </c>
      <c r="D14" s="13">
        <f>IFERROR(INDEX('📦 Raw Data'!F$6:F$30,MATCH(A14,'📦 Raw Data'!B$6:B$30,0)),"N/A")</f>
        <v>74000</v>
      </c>
      <c r="E14" s="10">
        <f>IFERROR(INDEX('📦 Raw Data'!G$6:G$30,MATCH(A14,'📦 Raw Data'!B$6:B$30,0)),"N/A")</f>
        <v>0</v>
      </c>
    </row>
    <row r="15" spans="1:9" ht="15" customHeight="1" x14ac:dyDescent="0.3">
      <c r="A15" s="8" t="s">
        <v>15</v>
      </c>
      <c r="B15" s="9" t="str">
        <f>IFERROR(INDEX('📦 Raw Data'!A$6:A$30,MATCH(A15,'📦 Raw Data'!B$6:B$30,0)),"Not Found")</f>
        <v>E001</v>
      </c>
      <c r="C15" s="9" t="str">
        <f>IFERROR(INDEX('📦 Raw Data'!C$6:C$30,MATCH(A15,'📦 Raw Data'!B$6:B$30,0)),"N/A")</f>
        <v>Sales</v>
      </c>
      <c r="D15" s="14">
        <f>IFERROR(INDEX('📦 Raw Data'!F$6:F$30,MATCH(A15,'📦 Raw Data'!B$6:B$30,0)),"N/A")</f>
        <v>82000</v>
      </c>
      <c r="E15" s="9">
        <f>IFERROR(INDEX('📦 Raw Data'!G$6:G$30,MATCH(A15,'📦 Raw Data'!B$6:B$30,0)),"N/A")</f>
        <v>145000</v>
      </c>
    </row>
    <row r="16" spans="1:9" ht="15" customHeight="1" x14ac:dyDescent="0.3">
      <c r="A16" s="8" t="s">
        <v>151</v>
      </c>
      <c r="B16" s="10" t="str">
        <f>IFERROR(INDEX('📦 Raw Data'!A$6:A$30,MATCH(A16,'📦 Raw Data'!B$6:B$30,0)),"Not Found")</f>
        <v>Not Found</v>
      </c>
      <c r="C16" s="10" t="str">
        <f>IFERROR(INDEX('📦 Raw Data'!C$6:C$30,MATCH(A16,'📦 Raw Data'!B$6:B$30,0)),"N/A")</f>
        <v>N/A</v>
      </c>
      <c r="D16" s="13" t="str">
        <f>IFERROR(INDEX('📦 Raw Data'!F$6:F$30,MATCH(A16,'📦 Raw Data'!B$6:B$30,0)),"N/A")</f>
        <v>N/A</v>
      </c>
      <c r="E16" s="10" t="str">
        <f>IFERROR(INDEX('📦 Raw Data'!G$6:G$30,MATCH(A16,'📦 Raw Data'!B$6:B$30,0)),"N/A")</f>
        <v>N/A</v>
      </c>
    </row>
    <row r="18" spans="1:9" ht="21.75" customHeight="1" x14ac:dyDescent="0.3">
      <c r="A18" s="60" t="s">
        <v>152</v>
      </c>
      <c r="B18" s="60"/>
      <c r="C18" s="60"/>
      <c r="D18" s="60"/>
      <c r="E18" s="60"/>
      <c r="F18" s="60"/>
      <c r="G18" s="60"/>
      <c r="H18" s="60"/>
      <c r="I18" s="60"/>
    </row>
    <row r="19" spans="1:9" ht="15" customHeight="1" x14ac:dyDescent="0.3">
      <c r="A19" s="1" t="s">
        <v>5</v>
      </c>
      <c r="B19" s="1" t="s">
        <v>6</v>
      </c>
      <c r="C19" s="1" t="s">
        <v>153</v>
      </c>
      <c r="D19" s="1" t="s">
        <v>154</v>
      </c>
      <c r="E19" s="1" t="s">
        <v>155</v>
      </c>
    </row>
    <row r="20" spans="1:9" ht="15" customHeight="1" x14ac:dyDescent="0.3">
      <c r="A20" s="15" t="s">
        <v>16</v>
      </c>
      <c r="B20" s="15" t="s">
        <v>17</v>
      </c>
      <c r="C20" s="10">
        <f>COUNTIFS('📦 Raw Data'!C$6:C$30,A20,'📦 Raw Data'!D$6:D$30,B20)</f>
        <v>4</v>
      </c>
      <c r="D20" s="13">
        <f>SUMIFS('📦 Raw Data'!G$6:G$30,'📦 Raw Data'!C$6:C$30,A20,'📦 Raw Data'!D$6:D$30,B20)</f>
        <v>523000</v>
      </c>
      <c r="E20" s="13">
        <f>IFERROR(AVERAGEIFS('📦 Raw Data'!F$6:F$30,'📦 Raw Data'!C$6:C$30,A20,'📦 Raw Data'!D$6:D$30,B20),"No Data")</f>
        <v>75750</v>
      </c>
    </row>
    <row r="21" spans="1:9" ht="15" customHeight="1" x14ac:dyDescent="0.3">
      <c r="A21" s="16" t="s">
        <v>16</v>
      </c>
      <c r="B21" s="16" t="s">
        <v>28</v>
      </c>
      <c r="C21" s="9">
        <f>COUNTIFS('📦 Raw Data'!C$6:C$30,A21,'📦 Raw Data'!D$6:D$30,B21)</f>
        <v>3</v>
      </c>
      <c r="D21" s="14">
        <f>SUMIFS('📦 Raw Data'!G$6:G$30,'📦 Raw Data'!C$6:C$30,A21,'📦 Raw Data'!D$6:D$30,B21)</f>
        <v>232000</v>
      </c>
      <c r="E21" s="14">
        <f>IFERROR(AVERAGEIFS('📦 Raw Data'!F$6:F$30,'📦 Raw Data'!C$6:C$30,A21,'📦 Raw Data'!D$6:D$30,B21),"No Data")</f>
        <v>47000</v>
      </c>
    </row>
    <row r="22" spans="1:9" ht="15" customHeight="1" x14ac:dyDescent="0.3">
      <c r="A22" s="15" t="s">
        <v>33</v>
      </c>
      <c r="B22" s="15" t="s">
        <v>24</v>
      </c>
      <c r="C22" s="10">
        <f>COUNTIFS('📦 Raw Data'!C$6:C$30,A22,'📦 Raw Data'!D$6:D$30,B22)</f>
        <v>2</v>
      </c>
      <c r="D22" s="13">
        <f>SUMIFS('📦 Raw Data'!G$6:G$30,'📦 Raw Data'!C$6:C$30,A22,'📦 Raw Data'!D$6:D$30,B22)</f>
        <v>0</v>
      </c>
      <c r="E22" s="13">
        <f>IFERROR(AVERAGEIFS('📦 Raw Data'!F$6:F$30,'📦 Raw Data'!C$6:C$30,A22,'📦 Raw Data'!D$6:D$30,B22),"No Data")</f>
        <v>70500</v>
      </c>
    </row>
    <row r="23" spans="1:9" ht="15" customHeight="1" x14ac:dyDescent="0.3">
      <c r="A23" s="16" t="s">
        <v>23</v>
      </c>
      <c r="B23" s="16" t="s">
        <v>24</v>
      </c>
      <c r="C23" s="9">
        <f>COUNTIFS('📦 Raw Data'!C$6:C$30,A23,'📦 Raw Data'!D$6:D$30,B23)</f>
        <v>1</v>
      </c>
      <c r="D23" s="14">
        <f>SUMIFS('📦 Raw Data'!G$6:G$30,'📦 Raw Data'!C$6:C$30,A23,'📦 Raw Data'!D$6:D$30,B23)</f>
        <v>0</v>
      </c>
      <c r="E23" s="14">
        <f>IFERROR(AVERAGEIFS('📦 Raw Data'!F$6:F$30,'📦 Raw Data'!C$6:C$30,A23,'📦 Raw Data'!D$6:D$30,B23),"No Data")</f>
        <v>45000</v>
      </c>
    </row>
    <row r="24" spans="1:9" ht="15" customHeight="1" x14ac:dyDescent="0.3">
      <c r="A24" s="15" t="s">
        <v>45</v>
      </c>
      <c r="B24" s="15" t="s">
        <v>28</v>
      </c>
      <c r="C24" s="10">
        <f>COUNTIFS('📦 Raw Data'!C$6:C$30,A24,'📦 Raw Data'!D$6:D$30,B24)</f>
        <v>1</v>
      </c>
      <c r="D24" s="13">
        <f>SUMIFS('📦 Raw Data'!G$6:G$30,'📦 Raw Data'!C$6:C$30,A24,'📦 Raw Data'!D$6:D$30,B24)</f>
        <v>0</v>
      </c>
      <c r="E24" s="13">
        <f>IFERROR(AVERAGEIFS('📦 Raw Data'!F$6:F$30,'📦 Raw Data'!C$6:C$30,A24,'📦 Raw Data'!D$6:D$30,B24),"No Data")</f>
        <v>85000</v>
      </c>
    </row>
    <row r="26" spans="1:9" ht="21.75" customHeight="1" x14ac:dyDescent="0.3">
      <c r="A26" s="60" t="s">
        <v>133</v>
      </c>
      <c r="B26" s="60"/>
      <c r="C26" s="60"/>
      <c r="D26" s="60"/>
      <c r="E26" s="60"/>
      <c r="F26" s="60"/>
      <c r="G26" s="60"/>
      <c r="H26" s="60"/>
      <c r="I26" s="60"/>
    </row>
    <row r="27" spans="1:9" ht="18" customHeight="1" x14ac:dyDescent="0.3">
      <c r="A27" s="62" t="s">
        <v>156</v>
      </c>
      <c r="B27" s="62"/>
      <c r="C27" s="62"/>
      <c r="D27" s="62"/>
      <c r="E27" s="62"/>
      <c r="F27" s="62"/>
      <c r="G27" s="62"/>
      <c r="H27" s="62"/>
      <c r="I27" s="62"/>
    </row>
    <row r="28" spans="1:9" ht="18" customHeight="1" x14ac:dyDescent="0.3">
      <c r="A28" s="62"/>
      <c r="B28" s="62"/>
      <c r="C28" s="62"/>
      <c r="D28" s="62"/>
      <c r="E28" s="62"/>
      <c r="F28" s="62"/>
      <c r="G28" s="62"/>
      <c r="H28" s="62"/>
      <c r="I28" s="62"/>
    </row>
    <row r="29" spans="1:9" ht="18" customHeight="1" x14ac:dyDescent="0.3">
      <c r="A29" s="62" t="s">
        <v>157</v>
      </c>
      <c r="B29" s="62"/>
      <c r="C29" s="62"/>
      <c r="D29" s="62"/>
      <c r="E29" s="62"/>
      <c r="F29" s="62"/>
      <c r="G29" s="62"/>
      <c r="H29" s="62"/>
      <c r="I29" s="62"/>
    </row>
    <row r="30" spans="1:9" ht="18" customHeight="1" x14ac:dyDescent="0.3">
      <c r="A30" s="62" t="s">
        <v>158</v>
      </c>
      <c r="B30" s="62"/>
      <c r="C30" s="62"/>
      <c r="D30" s="62"/>
      <c r="E30" s="62"/>
      <c r="F30" s="62"/>
      <c r="G30" s="62"/>
      <c r="H30" s="62"/>
      <c r="I30" s="62"/>
    </row>
  </sheetData>
  <mergeCells count="19">
    <mergeCell ref="A1:I1"/>
    <mergeCell ref="A3:I3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29:I29"/>
    <mergeCell ref="A30:I30"/>
    <mergeCell ref="A10:I10"/>
    <mergeCell ref="A18:I18"/>
    <mergeCell ref="A26:I26"/>
    <mergeCell ref="A27:I27"/>
    <mergeCell ref="A28:I2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3"/>
  <sheetViews>
    <sheetView topLeftCell="A7" zoomScaleNormal="100" workbookViewId="0">
      <selection activeCell="C6" sqref="C6:J6"/>
    </sheetView>
  </sheetViews>
  <sheetFormatPr defaultColWidth="8.6640625" defaultRowHeight="14.4" x14ac:dyDescent="0.3"/>
  <cols>
    <col min="1" max="1" width="9" customWidth="1"/>
    <col min="2" max="2" width="18" customWidth="1"/>
    <col min="3" max="3" width="13" customWidth="1"/>
    <col min="4" max="4" width="14" customWidth="1"/>
    <col min="5" max="6" width="22" customWidth="1"/>
    <col min="7" max="7" width="14" customWidth="1"/>
  </cols>
  <sheetData>
    <row r="1" spans="1:10" ht="27.75" customHeight="1" x14ac:dyDescent="0.3">
      <c r="A1" s="61" t="s">
        <v>159</v>
      </c>
      <c r="B1" s="61"/>
      <c r="C1" s="61"/>
      <c r="D1" s="61"/>
      <c r="E1" s="61"/>
      <c r="F1" s="61"/>
      <c r="G1" s="61"/>
      <c r="H1" s="61"/>
      <c r="I1" s="61"/>
      <c r="J1" s="61"/>
    </row>
    <row r="3" spans="1:10" ht="21.75" customHeight="1" x14ac:dyDescent="0.3">
      <c r="A3" s="60" t="s">
        <v>160</v>
      </c>
      <c r="B3" s="60"/>
      <c r="C3" s="60"/>
      <c r="D3" s="60"/>
      <c r="E3" s="60"/>
      <c r="F3" s="60"/>
      <c r="G3" s="60"/>
      <c r="H3" s="60"/>
      <c r="I3" s="60"/>
      <c r="J3" s="60"/>
    </row>
    <row r="4" spans="1:10" ht="21.75" customHeight="1" x14ac:dyDescent="0.3">
      <c r="A4" s="66" t="s">
        <v>161</v>
      </c>
      <c r="B4" s="66"/>
      <c r="C4" s="59" t="s">
        <v>162</v>
      </c>
      <c r="D4" s="59"/>
      <c r="E4" s="59"/>
      <c r="F4" s="59"/>
      <c r="G4" s="59"/>
      <c r="H4" s="59"/>
      <c r="I4" s="59"/>
      <c r="J4" s="59"/>
    </row>
    <row r="5" spans="1:10" ht="21.75" customHeight="1" x14ac:dyDescent="0.3">
      <c r="A5" s="66" t="s">
        <v>163</v>
      </c>
      <c r="B5" s="66"/>
      <c r="C5" s="59" t="s">
        <v>164</v>
      </c>
      <c r="D5" s="59"/>
      <c r="E5" s="59"/>
      <c r="F5" s="59"/>
      <c r="G5" s="59"/>
      <c r="H5" s="59"/>
      <c r="I5" s="59"/>
      <c r="J5" s="59"/>
    </row>
    <row r="6" spans="1:10" ht="21.75" customHeight="1" x14ac:dyDescent="0.3">
      <c r="A6" s="66" t="s">
        <v>165</v>
      </c>
      <c r="B6" s="66"/>
      <c r="C6" s="59" t="s">
        <v>166</v>
      </c>
      <c r="D6" s="59"/>
      <c r="E6" s="59"/>
      <c r="F6" s="59"/>
      <c r="G6" s="59"/>
      <c r="H6" s="59"/>
      <c r="I6" s="59"/>
      <c r="J6" s="59"/>
    </row>
    <row r="7" spans="1:10" ht="21.75" customHeight="1" x14ac:dyDescent="0.3">
      <c r="A7" s="66" t="s">
        <v>167</v>
      </c>
      <c r="B7" s="66"/>
      <c r="C7" s="59" t="s">
        <v>168</v>
      </c>
      <c r="D7" s="59"/>
      <c r="E7" s="59"/>
      <c r="F7" s="59"/>
      <c r="G7" s="59"/>
      <c r="H7" s="59"/>
      <c r="I7" s="59"/>
      <c r="J7" s="59"/>
    </row>
    <row r="8" spans="1:10" ht="21.75" customHeight="1" x14ac:dyDescent="0.3">
      <c r="A8" s="66" t="s">
        <v>169</v>
      </c>
      <c r="B8" s="66"/>
      <c r="C8" s="59" t="s">
        <v>170</v>
      </c>
      <c r="D8" s="59"/>
      <c r="E8" s="59"/>
      <c r="F8" s="59"/>
      <c r="G8" s="59"/>
      <c r="H8" s="59"/>
      <c r="I8" s="59"/>
      <c r="J8" s="59"/>
    </row>
    <row r="10" spans="1:10" ht="21.75" customHeight="1" x14ac:dyDescent="0.3">
      <c r="A10" s="60" t="s">
        <v>171</v>
      </c>
      <c r="B10" s="60"/>
      <c r="C10" s="60"/>
      <c r="D10" s="60"/>
      <c r="E10" s="60"/>
      <c r="F10" s="60"/>
      <c r="G10" s="60"/>
      <c r="H10" s="60"/>
      <c r="I10" s="60"/>
      <c r="J10" s="60"/>
    </row>
    <row r="11" spans="1:10" ht="15" customHeight="1" x14ac:dyDescent="0.3">
      <c r="A11" s="65" t="s">
        <v>172</v>
      </c>
      <c r="B11" s="65"/>
      <c r="C11" s="65"/>
      <c r="D11" s="65"/>
      <c r="E11" s="65"/>
      <c r="F11" s="65"/>
      <c r="G11" s="65"/>
      <c r="H11" s="65"/>
      <c r="I11" s="65"/>
      <c r="J11" s="65"/>
    </row>
    <row r="12" spans="1:10" ht="15" customHeight="1" x14ac:dyDescent="0.3">
      <c r="A12" s="1" t="s">
        <v>3</v>
      </c>
      <c r="B12" s="1" t="s">
        <v>173</v>
      </c>
      <c r="C12" s="1" t="s">
        <v>5</v>
      </c>
      <c r="D12" s="1" t="s">
        <v>9</v>
      </c>
      <c r="E12" s="1" t="s">
        <v>174</v>
      </c>
      <c r="F12" s="1" t="s">
        <v>175</v>
      </c>
      <c r="G12" s="1" t="s">
        <v>176</v>
      </c>
    </row>
    <row r="13" spans="1:10" ht="15" customHeight="1" x14ac:dyDescent="0.3">
      <c r="A13" s="16" t="s">
        <v>14</v>
      </c>
      <c r="B13" s="16" t="s">
        <v>15</v>
      </c>
      <c r="C13" s="16" t="s">
        <v>16</v>
      </c>
      <c r="D13" s="17">
        <v>5500</v>
      </c>
      <c r="E13" s="9" t="str">
        <f t="shared" ref="E13:E37" si="0">IF(D13=0,"No Sales Role",IF(D13&lt;50000,"Low",IF(D13&lt;100000,"Medium",IF(D13&lt;150000,"High","Exceptional"))))</f>
        <v>Low</v>
      </c>
      <c r="F13" s="9" t="str">
        <f t="shared" ref="F13:F37" si="1">IF(D13=0,"No Sales Role",IF(D13&lt;50000,"Low",IF(D13&lt;100000,"Medium",IF(D13&lt;150000,"High","Exceptional"))))</f>
        <v>Low</v>
      </c>
      <c r="G13" s="14">
        <f t="shared" ref="G13:G37" si="2">IF(D13=0,0,IF(D13&gt;=150000,D13*20%,IF(D13&gt;=100000,D13*15%,IF(D13&gt;=50000,D13*10%,D13*5%))))</f>
        <v>275</v>
      </c>
      <c r="I13" t="str">
        <f>IF(D13&gt;50000,"good",(IF(D13&lt;5000,"intern","emp")))</f>
        <v>emp</v>
      </c>
    </row>
    <row r="14" spans="1:10" ht="15" customHeight="1" x14ac:dyDescent="0.3">
      <c r="A14" s="15" t="s">
        <v>21</v>
      </c>
      <c r="B14" s="15" t="s">
        <v>22</v>
      </c>
      <c r="C14" s="15" t="s">
        <v>23</v>
      </c>
      <c r="D14" s="18">
        <v>0</v>
      </c>
      <c r="E14" s="10" t="str">
        <f t="shared" si="0"/>
        <v>No Sales Role</v>
      </c>
      <c r="F14" s="10" t="str">
        <f t="shared" si="1"/>
        <v>No Sales Role</v>
      </c>
      <c r="G14" s="13">
        <f t="shared" si="2"/>
        <v>0</v>
      </c>
      <c r="I14" t="str">
        <f t="shared" ref="I14:I38" si="3">IF(D14&gt;50000,"good","not good")</f>
        <v>not good</v>
      </c>
    </row>
    <row r="15" spans="1:10" ht="15" customHeight="1" x14ac:dyDescent="0.3">
      <c r="A15" s="16" t="s">
        <v>26</v>
      </c>
      <c r="B15" s="16" t="s">
        <v>27</v>
      </c>
      <c r="C15" s="16" t="s">
        <v>16</v>
      </c>
      <c r="D15" s="17">
        <v>98000</v>
      </c>
      <c r="E15" s="9" t="str">
        <f t="shared" si="0"/>
        <v>Medium</v>
      </c>
      <c r="F15" s="9" t="str">
        <f t="shared" si="1"/>
        <v>Medium</v>
      </c>
      <c r="G15" s="14">
        <f t="shared" si="2"/>
        <v>9800</v>
      </c>
      <c r="I15" t="str">
        <f t="shared" si="3"/>
        <v>good</v>
      </c>
    </row>
    <row r="16" spans="1:10" ht="15" customHeight="1" x14ac:dyDescent="0.3">
      <c r="A16" s="15" t="s">
        <v>31</v>
      </c>
      <c r="B16" s="15" t="s">
        <v>32</v>
      </c>
      <c r="C16" s="15" t="s">
        <v>33</v>
      </c>
      <c r="D16" s="18">
        <v>0</v>
      </c>
      <c r="E16" s="10" t="str">
        <f t="shared" si="0"/>
        <v>No Sales Role</v>
      </c>
      <c r="F16" s="10" t="str">
        <f t="shared" si="1"/>
        <v>No Sales Role</v>
      </c>
      <c r="G16" s="13">
        <f t="shared" si="2"/>
        <v>0</v>
      </c>
      <c r="I16" t="str">
        <f t="shared" si="3"/>
        <v>not good</v>
      </c>
    </row>
    <row r="17" spans="1:9" ht="15" customHeight="1" x14ac:dyDescent="0.3">
      <c r="A17" s="16" t="s">
        <v>35</v>
      </c>
      <c r="B17" s="16" t="s">
        <v>36</v>
      </c>
      <c r="C17" s="16" t="s">
        <v>16</v>
      </c>
      <c r="D17" s="17">
        <v>162000</v>
      </c>
      <c r="E17" s="9" t="str">
        <f t="shared" si="0"/>
        <v>Exceptional</v>
      </c>
      <c r="F17" s="9" t="str">
        <f t="shared" si="1"/>
        <v>Exceptional</v>
      </c>
      <c r="G17" s="14">
        <f t="shared" si="2"/>
        <v>32400</v>
      </c>
      <c r="I17" t="str">
        <f t="shared" si="3"/>
        <v>good</v>
      </c>
    </row>
    <row r="18" spans="1:9" ht="15" customHeight="1" x14ac:dyDescent="0.3">
      <c r="A18" s="15" t="s">
        <v>37</v>
      </c>
      <c r="B18" s="15" t="s">
        <v>38</v>
      </c>
      <c r="C18" s="15" t="s">
        <v>39</v>
      </c>
      <c r="D18" s="18">
        <v>0</v>
      </c>
      <c r="E18" s="10" t="str">
        <f t="shared" si="0"/>
        <v>No Sales Role</v>
      </c>
      <c r="F18" s="10" t="str">
        <f t="shared" si="1"/>
        <v>No Sales Role</v>
      </c>
      <c r="G18" s="13">
        <f t="shared" si="2"/>
        <v>0</v>
      </c>
      <c r="I18" t="str">
        <f t="shared" si="3"/>
        <v>not good</v>
      </c>
    </row>
    <row r="19" spans="1:9" ht="15" customHeight="1" x14ac:dyDescent="0.3">
      <c r="A19" s="16" t="s">
        <v>41</v>
      </c>
      <c r="B19" s="16" t="s">
        <v>42</v>
      </c>
      <c r="C19" s="16" t="s">
        <v>16</v>
      </c>
      <c r="D19" s="17">
        <v>54000</v>
      </c>
      <c r="E19" s="9" t="str">
        <f t="shared" si="0"/>
        <v>Medium</v>
      </c>
      <c r="F19" s="9" t="str">
        <f t="shared" si="1"/>
        <v>Medium</v>
      </c>
      <c r="G19" s="14">
        <f t="shared" si="2"/>
        <v>5400</v>
      </c>
      <c r="I19" t="str">
        <f t="shared" si="3"/>
        <v>good</v>
      </c>
    </row>
    <row r="20" spans="1:9" ht="15" customHeight="1" x14ac:dyDescent="0.3">
      <c r="A20" s="15" t="s">
        <v>43</v>
      </c>
      <c r="B20" s="15" t="s">
        <v>44</v>
      </c>
      <c r="C20" s="15" t="s">
        <v>45</v>
      </c>
      <c r="D20" s="18">
        <v>0</v>
      </c>
      <c r="E20" s="10" t="str">
        <f t="shared" si="0"/>
        <v>No Sales Role</v>
      </c>
      <c r="F20" s="10" t="str">
        <f t="shared" si="1"/>
        <v>No Sales Role</v>
      </c>
      <c r="G20" s="13">
        <f t="shared" si="2"/>
        <v>0</v>
      </c>
      <c r="I20" t="str">
        <f t="shared" si="3"/>
        <v>not good</v>
      </c>
    </row>
    <row r="21" spans="1:9" ht="15" customHeight="1" x14ac:dyDescent="0.3">
      <c r="A21" s="16" t="s">
        <v>46</v>
      </c>
      <c r="B21" s="16" t="s">
        <v>47</v>
      </c>
      <c r="C21" s="16" t="s">
        <v>16</v>
      </c>
      <c r="D21" s="17">
        <v>112000</v>
      </c>
      <c r="E21" s="9" t="str">
        <f t="shared" si="0"/>
        <v>High</v>
      </c>
      <c r="F21" s="9" t="str">
        <f t="shared" si="1"/>
        <v>High</v>
      </c>
      <c r="G21" s="14">
        <f t="shared" si="2"/>
        <v>16800</v>
      </c>
      <c r="I21" t="str">
        <f t="shared" si="3"/>
        <v>good</v>
      </c>
    </row>
    <row r="22" spans="1:9" ht="15" customHeight="1" x14ac:dyDescent="0.3">
      <c r="A22" s="15" t="s">
        <v>49</v>
      </c>
      <c r="B22" s="15" t="s">
        <v>50</v>
      </c>
      <c r="C22" s="15" t="s">
        <v>23</v>
      </c>
      <c r="D22" s="18">
        <v>0</v>
      </c>
      <c r="E22" s="10" t="str">
        <f t="shared" si="0"/>
        <v>No Sales Role</v>
      </c>
      <c r="F22" s="10" t="str">
        <f t="shared" si="1"/>
        <v>No Sales Role</v>
      </c>
      <c r="G22" s="13">
        <f t="shared" si="2"/>
        <v>0</v>
      </c>
      <c r="I22" t="str">
        <f t="shared" si="3"/>
        <v>not good</v>
      </c>
    </row>
    <row r="23" spans="1:9" ht="15" customHeight="1" x14ac:dyDescent="0.3">
      <c r="A23" s="16" t="s">
        <v>51</v>
      </c>
      <c r="B23" s="16" t="s">
        <v>52</v>
      </c>
      <c r="C23" s="16" t="s">
        <v>16</v>
      </c>
      <c r="D23" s="17">
        <v>63000</v>
      </c>
      <c r="E23" s="9" t="str">
        <f t="shared" si="0"/>
        <v>Medium</v>
      </c>
      <c r="F23" s="9" t="str">
        <f t="shared" si="1"/>
        <v>Medium</v>
      </c>
      <c r="G23" s="14">
        <f t="shared" si="2"/>
        <v>6300</v>
      </c>
      <c r="I23" t="str">
        <f t="shared" si="3"/>
        <v>good</v>
      </c>
    </row>
    <row r="24" spans="1:9" ht="15" customHeight="1" x14ac:dyDescent="0.3">
      <c r="A24" s="15" t="s">
        <v>54</v>
      </c>
      <c r="B24" s="15" t="s">
        <v>55</v>
      </c>
      <c r="C24" s="15" t="s">
        <v>33</v>
      </c>
      <c r="D24" s="18">
        <v>0</v>
      </c>
      <c r="E24" s="10" t="str">
        <f t="shared" si="0"/>
        <v>No Sales Role</v>
      </c>
      <c r="F24" s="10" t="str">
        <f t="shared" si="1"/>
        <v>No Sales Role</v>
      </c>
      <c r="G24" s="13">
        <f t="shared" si="2"/>
        <v>0</v>
      </c>
      <c r="I24" t="str">
        <f t="shared" si="3"/>
        <v>not good</v>
      </c>
    </row>
    <row r="25" spans="1:9" ht="15" customHeight="1" x14ac:dyDescent="0.3">
      <c r="A25" s="16" t="s">
        <v>56</v>
      </c>
      <c r="B25" s="16" t="s">
        <v>57</v>
      </c>
      <c r="C25" s="16" t="s">
        <v>16</v>
      </c>
      <c r="D25" s="17">
        <v>175000</v>
      </c>
      <c r="E25" s="9" t="str">
        <f t="shared" si="0"/>
        <v>Exceptional</v>
      </c>
      <c r="F25" s="9" t="str">
        <f t="shared" si="1"/>
        <v>Exceptional</v>
      </c>
      <c r="G25" s="14">
        <f t="shared" si="2"/>
        <v>35000</v>
      </c>
      <c r="I25" t="str">
        <f t="shared" si="3"/>
        <v>good</v>
      </c>
    </row>
    <row r="26" spans="1:9" ht="15" customHeight="1" x14ac:dyDescent="0.3">
      <c r="A26" s="15" t="s">
        <v>58</v>
      </c>
      <c r="B26" s="15" t="s">
        <v>59</v>
      </c>
      <c r="C26" s="15" t="s">
        <v>45</v>
      </c>
      <c r="D26" s="18">
        <v>0</v>
      </c>
      <c r="E26" s="10" t="str">
        <f t="shared" si="0"/>
        <v>No Sales Role</v>
      </c>
      <c r="F26" s="10" t="str">
        <f t="shared" si="1"/>
        <v>No Sales Role</v>
      </c>
      <c r="G26" s="13">
        <f t="shared" si="2"/>
        <v>0</v>
      </c>
      <c r="I26" t="str">
        <f t="shared" si="3"/>
        <v>not good</v>
      </c>
    </row>
    <row r="27" spans="1:9" ht="15" customHeight="1" x14ac:dyDescent="0.3">
      <c r="A27" s="16" t="s">
        <v>60</v>
      </c>
      <c r="B27" s="16" t="s">
        <v>61</v>
      </c>
      <c r="C27" s="16" t="s">
        <v>16</v>
      </c>
      <c r="D27" s="17">
        <v>107000</v>
      </c>
      <c r="E27" s="9" t="str">
        <f t="shared" si="0"/>
        <v>High</v>
      </c>
      <c r="F27" s="9" t="str">
        <f t="shared" si="1"/>
        <v>High</v>
      </c>
      <c r="G27" s="14">
        <f t="shared" si="2"/>
        <v>16050</v>
      </c>
      <c r="I27" t="str">
        <f t="shared" si="3"/>
        <v>good</v>
      </c>
    </row>
    <row r="28" spans="1:9" ht="15" customHeight="1" x14ac:dyDescent="0.3">
      <c r="A28" s="15" t="s">
        <v>62</v>
      </c>
      <c r="B28" s="15" t="s">
        <v>63</v>
      </c>
      <c r="C28" s="15" t="s">
        <v>39</v>
      </c>
      <c r="D28" s="18">
        <v>0</v>
      </c>
      <c r="E28" s="10" t="str">
        <f t="shared" si="0"/>
        <v>No Sales Role</v>
      </c>
      <c r="F28" s="10" t="str">
        <f t="shared" si="1"/>
        <v>No Sales Role</v>
      </c>
      <c r="G28" s="13">
        <f t="shared" si="2"/>
        <v>0</v>
      </c>
      <c r="I28" t="str">
        <f t="shared" si="3"/>
        <v>not good</v>
      </c>
    </row>
    <row r="29" spans="1:9" ht="15" customHeight="1" x14ac:dyDescent="0.3">
      <c r="A29" s="16" t="s">
        <v>64</v>
      </c>
      <c r="B29" s="16" t="s">
        <v>65</v>
      </c>
      <c r="C29" s="16" t="s">
        <v>16</v>
      </c>
      <c r="D29" s="17">
        <v>158000</v>
      </c>
      <c r="E29" s="9" t="str">
        <f t="shared" si="0"/>
        <v>Exceptional</v>
      </c>
      <c r="F29" s="9" t="str">
        <f t="shared" si="1"/>
        <v>Exceptional</v>
      </c>
      <c r="G29" s="14">
        <f t="shared" si="2"/>
        <v>31600</v>
      </c>
      <c r="I29" t="str">
        <f t="shared" si="3"/>
        <v>good</v>
      </c>
    </row>
    <row r="30" spans="1:9" ht="15" customHeight="1" x14ac:dyDescent="0.3">
      <c r="A30" s="15" t="s">
        <v>66</v>
      </c>
      <c r="B30" s="15" t="s">
        <v>67</v>
      </c>
      <c r="C30" s="15" t="s">
        <v>23</v>
      </c>
      <c r="D30" s="18">
        <v>0</v>
      </c>
      <c r="E30" s="10" t="str">
        <f t="shared" si="0"/>
        <v>No Sales Role</v>
      </c>
      <c r="F30" s="10" t="str">
        <f t="shared" si="1"/>
        <v>No Sales Role</v>
      </c>
      <c r="G30" s="13">
        <f t="shared" si="2"/>
        <v>0</v>
      </c>
      <c r="I30" t="str">
        <f t="shared" si="3"/>
        <v>not good</v>
      </c>
    </row>
    <row r="31" spans="1:9" ht="15" customHeight="1" x14ac:dyDescent="0.3">
      <c r="A31" s="16" t="s">
        <v>68</v>
      </c>
      <c r="B31" s="16" t="s">
        <v>69</v>
      </c>
      <c r="C31" s="16" t="s">
        <v>16</v>
      </c>
      <c r="D31" s="17">
        <v>71000</v>
      </c>
      <c r="E31" s="9" t="str">
        <f t="shared" si="0"/>
        <v>Medium</v>
      </c>
      <c r="F31" s="9" t="str">
        <f t="shared" si="1"/>
        <v>Medium</v>
      </c>
      <c r="G31" s="14">
        <f t="shared" si="2"/>
        <v>7100</v>
      </c>
      <c r="I31" t="str">
        <f t="shared" si="3"/>
        <v>good</v>
      </c>
    </row>
    <row r="32" spans="1:9" ht="15" customHeight="1" x14ac:dyDescent="0.3">
      <c r="A32" s="15" t="s">
        <v>70</v>
      </c>
      <c r="B32" s="15" t="s">
        <v>71</v>
      </c>
      <c r="C32" s="15" t="s">
        <v>33</v>
      </c>
      <c r="D32" s="18">
        <v>0</v>
      </c>
      <c r="E32" s="10" t="str">
        <f t="shared" si="0"/>
        <v>No Sales Role</v>
      </c>
      <c r="F32" s="10" t="str">
        <f t="shared" si="1"/>
        <v>No Sales Role</v>
      </c>
      <c r="G32" s="13">
        <f t="shared" si="2"/>
        <v>0</v>
      </c>
      <c r="I32" t="str">
        <f t="shared" si="3"/>
        <v>not good</v>
      </c>
    </row>
    <row r="33" spans="1:10" ht="15" customHeight="1" x14ac:dyDescent="0.3">
      <c r="A33" s="16" t="s">
        <v>72</v>
      </c>
      <c r="B33" s="16" t="s">
        <v>73</v>
      </c>
      <c r="C33" s="16" t="s">
        <v>16</v>
      </c>
      <c r="D33" s="17">
        <v>123000</v>
      </c>
      <c r="E33" s="9" t="str">
        <f t="shared" si="0"/>
        <v>High</v>
      </c>
      <c r="F33" s="9" t="str">
        <f t="shared" si="1"/>
        <v>High</v>
      </c>
      <c r="G33" s="14">
        <f t="shared" si="2"/>
        <v>18450</v>
      </c>
      <c r="I33" t="str">
        <f t="shared" si="3"/>
        <v>good</v>
      </c>
    </row>
    <row r="34" spans="1:10" ht="15" customHeight="1" x14ac:dyDescent="0.3">
      <c r="A34" s="15" t="s">
        <v>74</v>
      </c>
      <c r="B34" s="15" t="s">
        <v>75</v>
      </c>
      <c r="C34" s="15" t="s">
        <v>45</v>
      </c>
      <c r="D34" s="18">
        <v>0</v>
      </c>
      <c r="E34" s="10" t="str">
        <f t="shared" si="0"/>
        <v>No Sales Role</v>
      </c>
      <c r="F34" s="10" t="str">
        <f t="shared" si="1"/>
        <v>No Sales Role</v>
      </c>
      <c r="G34" s="13">
        <f t="shared" si="2"/>
        <v>0</v>
      </c>
      <c r="I34" t="str">
        <f t="shared" si="3"/>
        <v>not good</v>
      </c>
    </row>
    <row r="35" spans="1:10" ht="15" customHeight="1" x14ac:dyDescent="0.3">
      <c r="A35" s="16" t="s">
        <v>76</v>
      </c>
      <c r="B35" s="16" t="s">
        <v>77</v>
      </c>
      <c r="C35" s="16" t="s">
        <v>16</v>
      </c>
      <c r="D35" s="17">
        <v>141000</v>
      </c>
      <c r="E35" s="9" t="str">
        <f t="shared" si="0"/>
        <v>High</v>
      </c>
      <c r="F35" s="9" t="str">
        <f t="shared" si="1"/>
        <v>High</v>
      </c>
      <c r="G35" s="14">
        <f t="shared" si="2"/>
        <v>21150</v>
      </c>
      <c r="I35" t="str">
        <f t="shared" si="3"/>
        <v>good</v>
      </c>
    </row>
    <row r="36" spans="1:10" ht="15" customHeight="1" x14ac:dyDescent="0.3">
      <c r="A36" s="15" t="s">
        <v>78</v>
      </c>
      <c r="B36" s="15" t="s">
        <v>79</v>
      </c>
      <c r="C36" s="15" t="s">
        <v>23</v>
      </c>
      <c r="D36" s="18">
        <v>0</v>
      </c>
      <c r="E36" s="10" t="str">
        <f t="shared" si="0"/>
        <v>No Sales Role</v>
      </c>
      <c r="F36" s="10" t="str">
        <f t="shared" si="1"/>
        <v>No Sales Role</v>
      </c>
      <c r="G36" s="13">
        <f t="shared" si="2"/>
        <v>0</v>
      </c>
      <c r="I36" t="str">
        <f t="shared" si="3"/>
        <v>not good</v>
      </c>
    </row>
    <row r="37" spans="1:10" ht="15" customHeight="1" x14ac:dyDescent="0.3">
      <c r="A37" s="16" t="s">
        <v>80</v>
      </c>
      <c r="B37" s="16" t="s">
        <v>81</v>
      </c>
      <c r="C37" s="16" t="s">
        <v>16</v>
      </c>
      <c r="D37" s="17">
        <v>58000</v>
      </c>
      <c r="E37" s="9" t="str">
        <f t="shared" si="0"/>
        <v>Medium</v>
      </c>
      <c r="F37" s="9" t="str">
        <f t="shared" si="1"/>
        <v>Medium</v>
      </c>
      <c r="G37" s="14">
        <f t="shared" si="2"/>
        <v>5800</v>
      </c>
      <c r="I37" t="str">
        <f t="shared" si="3"/>
        <v>good</v>
      </c>
    </row>
    <row r="38" spans="1:10" x14ac:dyDescent="0.3">
      <c r="I38" t="str">
        <f t="shared" si="3"/>
        <v>not good</v>
      </c>
    </row>
    <row r="39" spans="1:10" ht="21.75" customHeight="1" x14ac:dyDescent="0.3">
      <c r="A39" s="60" t="s">
        <v>133</v>
      </c>
      <c r="B39" s="60"/>
      <c r="C39" s="60"/>
      <c r="D39" s="60"/>
      <c r="E39" s="60"/>
      <c r="F39" s="60"/>
      <c r="G39" s="60"/>
      <c r="H39" s="60"/>
      <c r="I39" s="60"/>
      <c r="J39" s="60"/>
    </row>
    <row r="40" spans="1:10" ht="18" customHeight="1" x14ac:dyDescent="0.3">
      <c r="A40" s="64" t="s">
        <v>177</v>
      </c>
      <c r="B40" s="64"/>
      <c r="C40" s="64"/>
      <c r="D40" s="64"/>
      <c r="E40" s="64"/>
      <c r="F40" s="64"/>
      <c r="G40" s="64"/>
      <c r="H40" s="64"/>
      <c r="I40" s="64"/>
      <c r="J40" s="64"/>
    </row>
    <row r="41" spans="1:10" ht="18" customHeight="1" x14ac:dyDescent="0.3">
      <c r="A41" s="64" t="s">
        <v>178</v>
      </c>
      <c r="B41" s="64"/>
      <c r="C41" s="64"/>
      <c r="D41" s="64"/>
      <c r="E41" s="64"/>
      <c r="F41" s="64"/>
      <c r="G41" s="64"/>
      <c r="H41" s="64"/>
      <c r="I41" s="64"/>
      <c r="J41" s="64"/>
    </row>
    <row r="42" spans="1:10" ht="18" customHeight="1" x14ac:dyDescent="0.3">
      <c r="A42" s="64" t="s">
        <v>179</v>
      </c>
      <c r="B42" s="64"/>
      <c r="C42" s="64"/>
      <c r="D42" s="64"/>
      <c r="E42" s="64"/>
      <c r="F42" s="64"/>
      <c r="G42" s="64"/>
      <c r="H42" s="64"/>
      <c r="I42" s="64"/>
      <c r="J42" s="64"/>
    </row>
    <row r="43" spans="1:10" ht="18" customHeight="1" x14ac:dyDescent="0.3">
      <c r="A43" s="64" t="s">
        <v>180</v>
      </c>
      <c r="B43" s="64"/>
      <c r="C43" s="64"/>
      <c r="D43" s="64"/>
      <c r="E43" s="64"/>
      <c r="F43" s="64"/>
      <c r="G43" s="64"/>
      <c r="H43" s="64"/>
      <c r="I43" s="64"/>
      <c r="J43" s="64"/>
    </row>
  </sheetData>
  <mergeCells count="19">
    <mergeCell ref="A1:J1"/>
    <mergeCell ref="A3:J3"/>
    <mergeCell ref="A4:B4"/>
    <mergeCell ref="C4:J4"/>
    <mergeCell ref="A5:B5"/>
    <mergeCell ref="C5:J5"/>
    <mergeCell ref="A6:B6"/>
    <mergeCell ref="C6:J6"/>
    <mergeCell ref="A7:B7"/>
    <mergeCell ref="C7:J7"/>
    <mergeCell ref="A8:B8"/>
    <mergeCell ref="C8:J8"/>
    <mergeCell ref="A42:J42"/>
    <mergeCell ref="A43:J43"/>
    <mergeCell ref="A10:J10"/>
    <mergeCell ref="A11:J11"/>
    <mergeCell ref="A39:J39"/>
    <mergeCell ref="A40:J40"/>
    <mergeCell ref="A41:J4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zoomScaleNormal="100" workbookViewId="0">
      <selection activeCell="C20" sqref="C20"/>
    </sheetView>
  </sheetViews>
  <sheetFormatPr defaultColWidth="8.6640625" defaultRowHeight="14.4" x14ac:dyDescent="0.3"/>
  <cols>
    <col min="1" max="1" width="18" customWidth="1"/>
    <col min="2" max="2" width="10" customWidth="1"/>
    <col min="3" max="3" width="18.77734375" bestFit="1" customWidth="1"/>
    <col min="4" max="4" width="9" customWidth="1"/>
    <col min="5" max="5" width="18" customWidth="1"/>
    <col min="6" max="6" width="20" customWidth="1"/>
    <col min="7" max="8" width="18" customWidth="1"/>
  </cols>
  <sheetData>
    <row r="1" spans="1:8" ht="27.75" customHeight="1" x14ac:dyDescent="0.3">
      <c r="A1" s="61" t="s">
        <v>181</v>
      </c>
      <c r="B1" s="61"/>
      <c r="C1" s="61"/>
      <c r="D1" s="61"/>
      <c r="E1" s="61"/>
      <c r="F1" s="61"/>
      <c r="G1" s="61"/>
      <c r="H1" s="61"/>
    </row>
    <row r="3" spans="1:8" ht="21.75" customHeight="1" x14ac:dyDescent="0.3">
      <c r="A3" s="60" t="s">
        <v>182</v>
      </c>
      <c r="B3" s="60"/>
      <c r="C3" s="60"/>
      <c r="D3" s="60"/>
      <c r="E3" s="60"/>
      <c r="F3" s="60"/>
      <c r="G3" s="60"/>
      <c r="H3" s="60"/>
    </row>
    <row r="4" spans="1:8" ht="21.75" customHeight="1" x14ac:dyDescent="0.3">
      <c r="A4" s="68" t="s">
        <v>183</v>
      </c>
      <c r="B4" s="68"/>
      <c r="C4" s="59" t="s">
        <v>184</v>
      </c>
      <c r="D4" s="59"/>
      <c r="E4" s="59"/>
      <c r="F4" s="59"/>
      <c r="G4" s="59"/>
      <c r="H4" s="59"/>
    </row>
    <row r="5" spans="1:8" ht="21.75" customHeight="1" x14ac:dyDescent="0.3">
      <c r="A5" s="68" t="s">
        <v>185</v>
      </c>
      <c r="B5" s="68"/>
      <c r="C5" s="59" t="s">
        <v>186</v>
      </c>
      <c r="D5" s="59"/>
      <c r="E5" s="59"/>
      <c r="F5" s="59"/>
      <c r="G5" s="59"/>
      <c r="H5" s="59"/>
    </row>
    <row r="6" spans="1:8" ht="21.75" customHeight="1" x14ac:dyDescent="0.3">
      <c r="A6" s="68" t="s">
        <v>187</v>
      </c>
      <c r="B6" s="68"/>
      <c r="C6" s="59" t="s">
        <v>188</v>
      </c>
      <c r="D6" s="59"/>
      <c r="E6" s="59"/>
      <c r="F6" s="59"/>
      <c r="G6" s="59"/>
      <c r="H6" s="59"/>
    </row>
    <row r="7" spans="1:8" ht="21.75" customHeight="1" x14ac:dyDescent="0.3">
      <c r="A7" s="68" t="s">
        <v>189</v>
      </c>
      <c r="B7" s="68"/>
      <c r="C7" s="59" t="s">
        <v>190</v>
      </c>
      <c r="D7" s="59"/>
      <c r="E7" s="59"/>
      <c r="F7" s="59"/>
      <c r="G7" s="59"/>
      <c r="H7" s="59"/>
    </row>
    <row r="9" spans="1:8" ht="21.75" customHeight="1" x14ac:dyDescent="0.3">
      <c r="A9" s="60" t="s">
        <v>191</v>
      </c>
      <c r="B9" s="60"/>
      <c r="C9" s="60"/>
      <c r="D9" s="60"/>
      <c r="E9" s="60"/>
      <c r="F9" s="60"/>
      <c r="G9" s="60"/>
      <c r="H9" s="60"/>
    </row>
    <row r="10" spans="1:8" ht="15" customHeight="1" x14ac:dyDescent="0.3">
      <c r="A10" s="1" t="s">
        <v>192</v>
      </c>
      <c r="B10" s="1" t="s">
        <v>17</v>
      </c>
      <c r="C10" s="1" t="s">
        <v>28</v>
      </c>
      <c r="D10" s="1" t="s">
        <v>34</v>
      </c>
      <c r="E10" s="1" t="s">
        <v>24</v>
      </c>
      <c r="F10" s="1" t="s">
        <v>193</v>
      </c>
    </row>
    <row r="11" spans="1:8" ht="15" customHeight="1" x14ac:dyDescent="0.3">
      <c r="A11" s="19" t="s">
        <v>16</v>
      </c>
      <c r="B11" s="14">
        <f>SUMIFS('📦 Raw Data'!G$6:G$30,'📦 Raw Data'!C$6:C$30,A11,'📦 Raw Data'!D$6:D$30,B$10)</f>
        <v>523000</v>
      </c>
      <c r="C11" s="14">
        <f>SUMIFS('📦 Raw Data'!G$6:G$30,'📦 Raw Data'!C$6:C$30,A11,'📦 Raw Data'!D$6:D$30,C$10)</f>
        <v>232000</v>
      </c>
      <c r="D11" s="14">
        <f>SUMIFS('📦 Raw Data'!G$6:G$30,'📦 Raw Data'!C$6:C$30,A11,'📦 Raw Data'!D$6:D$30,D$10)</f>
        <v>352000</v>
      </c>
      <c r="E11" s="14">
        <f>SUMIFS('📦 Raw Data'!G$6:G$30,'📦 Raw Data'!C$6:C$30,A11,'📦 Raw Data'!D$6:D$30,E$10)</f>
        <v>360000</v>
      </c>
      <c r="F11" s="20">
        <f>SUM(B11:E11)</f>
        <v>1467000</v>
      </c>
    </row>
    <row r="12" spans="1:8" ht="15" customHeight="1" x14ac:dyDescent="0.3">
      <c r="A12" s="19" t="s">
        <v>23</v>
      </c>
      <c r="B12" s="13">
        <f>SUMIFS('📦 Raw Data'!G$6:G$30,'📦 Raw Data'!C$6:C$30,A12,'📦 Raw Data'!D$6:D$30,B$10)</f>
        <v>0</v>
      </c>
      <c r="C12" s="13">
        <f>SUMIFS('📦 Raw Data'!G$6:G$30,'📦 Raw Data'!C$6:C$30,A12,'📦 Raw Data'!D$6:D$30,C$10)</f>
        <v>0</v>
      </c>
      <c r="D12" s="13">
        <f>SUMIFS('📦 Raw Data'!G$6:G$30,'📦 Raw Data'!C$6:C$30,A12,'📦 Raw Data'!D$6:D$30,D$10)</f>
        <v>0</v>
      </c>
      <c r="E12" s="13">
        <f>SUMIFS('📦 Raw Data'!G$6:G$30,'📦 Raw Data'!C$6:C$30,A12,'📦 Raw Data'!D$6:D$30,E$10)</f>
        <v>0</v>
      </c>
      <c r="F12" s="20">
        <f>SUM(B12:E12)</f>
        <v>0</v>
      </c>
    </row>
    <row r="13" spans="1:8" ht="15" customHeight="1" x14ac:dyDescent="0.3">
      <c r="A13" s="19" t="s">
        <v>33</v>
      </c>
      <c r="B13" s="14">
        <f>SUMIFS('📦 Raw Data'!G$6:G$30,'📦 Raw Data'!C$6:C$30,A13,'📦 Raw Data'!D$6:D$30,B$10)</f>
        <v>0</v>
      </c>
      <c r="C13" s="14">
        <f>SUMIFS('📦 Raw Data'!G$6:G$30,'📦 Raw Data'!C$6:C$30,A13,'📦 Raw Data'!D$6:D$30,C$10)</f>
        <v>0</v>
      </c>
      <c r="D13" s="14">
        <f>SUMIFS('📦 Raw Data'!G$6:G$30,'📦 Raw Data'!C$6:C$30,A13,'📦 Raw Data'!D$6:D$30,D$10)</f>
        <v>0</v>
      </c>
      <c r="E13" s="14">
        <f>SUMIFS('📦 Raw Data'!G$6:G$30,'📦 Raw Data'!C$6:C$30,A13,'📦 Raw Data'!D$6:D$30,E$10)</f>
        <v>0</v>
      </c>
      <c r="F13" s="20">
        <f>SUM(B13:E13)</f>
        <v>0</v>
      </c>
    </row>
    <row r="14" spans="1:8" ht="15" customHeight="1" x14ac:dyDescent="0.3">
      <c r="A14" s="19" t="s">
        <v>39</v>
      </c>
      <c r="B14" s="13">
        <f>SUMIFS('📦 Raw Data'!G$6:G$30,'📦 Raw Data'!C$6:C$30,A14,'📦 Raw Data'!D$6:D$30,B$10)</f>
        <v>0</v>
      </c>
      <c r="C14" s="13">
        <f>SUMIFS('📦 Raw Data'!G$6:G$30,'📦 Raw Data'!C$6:C$30,A14,'📦 Raw Data'!D$6:D$30,C$10)</f>
        <v>0</v>
      </c>
      <c r="D14" s="13">
        <f>SUMIFS('📦 Raw Data'!G$6:G$30,'📦 Raw Data'!C$6:C$30,A14,'📦 Raw Data'!D$6:D$30,D$10)</f>
        <v>0</v>
      </c>
      <c r="E14" s="13">
        <f>SUMIFS('📦 Raw Data'!G$6:G$30,'📦 Raw Data'!C$6:C$30,A14,'📦 Raw Data'!D$6:D$30,E$10)</f>
        <v>0</v>
      </c>
      <c r="F14" s="20">
        <f>SUM(B14:E14)</f>
        <v>0</v>
      </c>
    </row>
    <row r="15" spans="1:8" ht="15" customHeight="1" x14ac:dyDescent="0.3">
      <c r="A15" s="19" t="s">
        <v>45</v>
      </c>
      <c r="B15" s="14">
        <f>SUMIFS('📦 Raw Data'!G$6:G$30,'📦 Raw Data'!C$6:C$30,A15,'📦 Raw Data'!D$6:D$30,B$10)</f>
        <v>0</v>
      </c>
      <c r="C15" s="14">
        <f>SUMIFS('📦 Raw Data'!G$6:G$30,'📦 Raw Data'!C$6:C$30,A15,'📦 Raw Data'!D$6:D$30,C$10)</f>
        <v>0</v>
      </c>
      <c r="D15" s="14">
        <f>SUMIFS('📦 Raw Data'!G$6:G$30,'📦 Raw Data'!C$6:C$30,A15,'📦 Raw Data'!D$6:D$30,D$10)</f>
        <v>0</v>
      </c>
      <c r="E15" s="14">
        <f>SUMIFS('📦 Raw Data'!G$6:G$30,'📦 Raw Data'!C$6:C$30,A15,'📦 Raw Data'!D$6:D$30,E$10)</f>
        <v>0</v>
      </c>
      <c r="F15" s="20">
        <f>SUM(B15:E15)</f>
        <v>0</v>
      </c>
    </row>
    <row r="16" spans="1:8" ht="15" customHeight="1" x14ac:dyDescent="0.3">
      <c r="A16" s="21" t="s">
        <v>194</v>
      </c>
      <c r="B16" s="20">
        <f>SUM(B11:B15)</f>
        <v>523000</v>
      </c>
      <c r="C16" s="20">
        <f>SUM(C11:C15)</f>
        <v>232000</v>
      </c>
      <c r="D16" s="20">
        <f>SUM(D11:D15)</f>
        <v>352000</v>
      </c>
      <c r="E16" s="20">
        <f>SUM(E11:E15)</f>
        <v>360000</v>
      </c>
      <c r="F16" s="20">
        <f>SUM(F11:F15)</f>
        <v>1467000</v>
      </c>
    </row>
    <row r="18" spans="1:8" ht="21.75" customHeight="1" x14ac:dyDescent="0.3">
      <c r="A18" s="60" t="s">
        <v>195</v>
      </c>
      <c r="B18" s="60"/>
      <c r="C18" s="60"/>
      <c r="D18" s="60"/>
      <c r="E18" s="60"/>
      <c r="F18" s="60"/>
      <c r="G18" s="60"/>
      <c r="H18" s="60"/>
    </row>
    <row r="19" spans="1:8" ht="15" customHeight="1" x14ac:dyDescent="0.3">
      <c r="A19" s="1" t="s">
        <v>5</v>
      </c>
      <c r="B19" s="1" t="s">
        <v>196</v>
      </c>
      <c r="C19" s="1" t="s">
        <v>197</v>
      </c>
      <c r="D19" s="1" t="s">
        <v>198</v>
      </c>
      <c r="E19" s="1" t="s">
        <v>154</v>
      </c>
      <c r="F19" s="1" t="s">
        <v>199</v>
      </c>
    </row>
    <row r="20" spans="1:8" ht="15" customHeight="1" x14ac:dyDescent="0.3">
      <c r="A20" s="15" t="s">
        <v>16</v>
      </c>
      <c r="B20" s="10">
        <f>COUNTIFS('📦 Raw Data'!C$6:C$30,A20,'📦 Raw Data'!E$6:E$30,"Senior",'📦 Raw Data'!J$6:J$30,"Active")</f>
        <v>5</v>
      </c>
      <c r="C20" s="13">
        <f>SUMIFS('📦 Raw Data'!F$6:F$30,'📦 Raw Data'!C$6:C$30,A20,'📦 Raw Data'!E$6:E$30,"Senior",'📦 Raw Data'!J$6:J$30,"Active")</f>
        <v>443000</v>
      </c>
      <c r="D20" s="13">
        <f>IFERROR(AVERAGEIFS('📦 Raw Data'!F$6:F$30,'📦 Raw Data'!C$6:C$30,A20,'📦 Raw Data'!E$6:E$30,"Senior",'📦 Raw Data'!J$6:J$30,"Active"),0)</f>
        <v>88600</v>
      </c>
      <c r="E20" s="13">
        <f>SUMIFS('📦 Raw Data'!G$6:G$30,'📦 Raw Data'!C$6:C$30,A20,'📦 Raw Data'!E$6:E$30,"Senior",'📦 Raw Data'!J$6:J$30,"Active")</f>
        <v>781000</v>
      </c>
      <c r="F20" s="22">
        <f>IFERROR(E20/C20,"N/A")</f>
        <v>1.7629796839729119</v>
      </c>
    </row>
    <row r="21" spans="1:8" ht="15" customHeight="1" x14ac:dyDescent="0.3">
      <c r="A21" s="16" t="s">
        <v>23</v>
      </c>
      <c r="B21" s="9">
        <f>COUNTIFS('📦 Raw Data'!C$6:C$30,A21,'📦 Raw Data'!E$6:E$30,"Senior",'📦 Raw Data'!J$6:J$30,"Active")</f>
        <v>1</v>
      </c>
      <c r="C21" s="14">
        <f>SUMIFS('📦 Raw Data'!F$6:F$30,'📦 Raw Data'!C$6:C$30,A21,'📦 Raw Data'!E$6:E$30,"Senior",'📦 Raw Data'!J$6:J$30,"Active")</f>
        <v>74000</v>
      </c>
      <c r="D21" s="14">
        <f>IFERROR(AVERAGEIFS('📦 Raw Data'!F$6:F$30,'📦 Raw Data'!C$6:C$30,A21,'📦 Raw Data'!E$6:E$30,"Senior",'📦 Raw Data'!J$6:J$30,"Active"),0)</f>
        <v>74000</v>
      </c>
      <c r="E21" s="14">
        <f>SUMIFS('📦 Raw Data'!G$6:G$30,'📦 Raw Data'!C$6:C$30,A21,'📦 Raw Data'!E$6:E$30,"Senior",'📦 Raw Data'!J$6:J$30,"Active")</f>
        <v>0</v>
      </c>
      <c r="F21" s="23">
        <f>IFERROR(E21/C21,"N/A")</f>
        <v>0</v>
      </c>
    </row>
    <row r="22" spans="1:8" ht="15" customHeight="1" x14ac:dyDescent="0.3">
      <c r="A22" s="15" t="s">
        <v>33</v>
      </c>
      <c r="B22" s="10">
        <f>COUNTIFS('📦 Raw Data'!C$6:C$30,A22,'📦 Raw Data'!E$6:E$30,"Senior",'📦 Raw Data'!J$6:J$30,"Active")</f>
        <v>2</v>
      </c>
      <c r="C22" s="13">
        <f>SUMIFS('📦 Raw Data'!F$6:F$30,'📦 Raw Data'!C$6:C$30,A22,'📦 Raw Data'!E$6:E$30,"Senior",'📦 Raw Data'!J$6:J$30,"Active")</f>
        <v>160000</v>
      </c>
      <c r="D22" s="13">
        <f>IFERROR(AVERAGEIFS('📦 Raw Data'!F$6:F$30,'📦 Raw Data'!C$6:C$30,A22,'📦 Raw Data'!E$6:E$30,"Senior",'📦 Raw Data'!J$6:J$30,"Active"),0)</f>
        <v>80000</v>
      </c>
      <c r="E22" s="13">
        <f>SUMIFS('📦 Raw Data'!G$6:G$30,'📦 Raw Data'!C$6:C$30,A22,'📦 Raw Data'!E$6:E$30,"Senior",'📦 Raw Data'!J$6:J$30,"Active")</f>
        <v>0</v>
      </c>
      <c r="F22" s="22">
        <f>IFERROR(E22/C22,"N/A")</f>
        <v>0</v>
      </c>
    </row>
    <row r="23" spans="1:8" ht="15" customHeight="1" x14ac:dyDescent="0.3">
      <c r="A23" s="16" t="s">
        <v>39</v>
      </c>
      <c r="B23" s="9">
        <f>COUNTIFS('📦 Raw Data'!C$6:C$30,A23,'📦 Raw Data'!E$6:E$30,"Senior",'📦 Raw Data'!J$6:J$30,"Active")</f>
        <v>1</v>
      </c>
      <c r="C23" s="14">
        <f>SUMIFS('📦 Raw Data'!F$6:F$30,'📦 Raw Data'!C$6:C$30,A23,'📦 Raw Data'!E$6:E$30,"Senior",'📦 Raw Data'!J$6:J$30,"Active")</f>
        <v>71000</v>
      </c>
      <c r="D23" s="14">
        <f>IFERROR(AVERAGEIFS('📦 Raw Data'!F$6:F$30,'📦 Raw Data'!C$6:C$30,A23,'📦 Raw Data'!E$6:E$30,"Senior",'📦 Raw Data'!J$6:J$30,"Active"),0)</f>
        <v>71000</v>
      </c>
      <c r="E23" s="14">
        <f>SUMIFS('📦 Raw Data'!G$6:G$30,'📦 Raw Data'!C$6:C$30,A23,'📦 Raw Data'!E$6:E$30,"Senior",'📦 Raw Data'!J$6:J$30,"Active")</f>
        <v>0</v>
      </c>
      <c r="F23" s="23">
        <f>IFERROR(E23/C23,"N/A")</f>
        <v>0</v>
      </c>
    </row>
    <row r="24" spans="1:8" ht="15" customHeight="1" x14ac:dyDescent="0.3">
      <c r="A24" s="15" t="s">
        <v>45</v>
      </c>
      <c r="B24" s="10">
        <f>COUNTIFS('📦 Raw Data'!C$6:C$30,A24,'📦 Raw Data'!E$6:E$30,"Senior",'📦 Raw Data'!J$6:J$30,"Active")</f>
        <v>1</v>
      </c>
      <c r="C24" s="13">
        <f>SUMIFS('📦 Raw Data'!F$6:F$30,'📦 Raw Data'!C$6:C$30,A24,'📦 Raw Data'!E$6:E$30,"Senior",'📦 Raw Data'!J$6:J$30,"Active")</f>
        <v>85000</v>
      </c>
      <c r="D24" s="13">
        <f>IFERROR(AVERAGEIFS('📦 Raw Data'!F$6:F$30,'📦 Raw Data'!C$6:C$30,A24,'📦 Raw Data'!E$6:E$30,"Senior",'📦 Raw Data'!J$6:J$30,"Active"),0)</f>
        <v>85000</v>
      </c>
      <c r="E24" s="13">
        <f>SUMIFS('📦 Raw Data'!G$6:G$30,'📦 Raw Data'!C$6:C$30,A24,'📦 Raw Data'!E$6:E$30,"Senior",'📦 Raw Data'!J$6:J$30,"Active")</f>
        <v>0</v>
      </c>
      <c r="F24" s="22">
        <f>IFERROR(E24/C24,"N/A")</f>
        <v>0</v>
      </c>
    </row>
    <row r="26" spans="1:8" ht="21.75" customHeight="1" x14ac:dyDescent="0.3">
      <c r="A26" s="60" t="s">
        <v>133</v>
      </c>
      <c r="B26" s="60"/>
      <c r="C26" s="60"/>
      <c r="D26" s="60"/>
      <c r="E26" s="60"/>
      <c r="F26" s="60"/>
      <c r="G26" s="60"/>
      <c r="H26" s="60"/>
    </row>
    <row r="27" spans="1:8" ht="18" customHeight="1" x14ac:dyDescent="0.3">
      <c r="A27" s="67" t="s">
        <v>200</v>
      </c>
      <c r="B27" s="67"/>
      <c r="C27" s="67"/>
      <c r="D27" s="67"/>
      <c r="E27" s="67"/>
      <c r="F27" s="67"/>
      <c r="G27" s="67"/>
      <c r="H27" s="67"/>
    </row>
    <row r="28" spans="1:8" ht="18" customHeight="1" x14ac:dyDescent="0.3">
      <c r="A28" s="67" t="s">
        <v>201</v>
      </c>
      <c r="B28" s="67"/>
      <c r="C28" s="67"/>
      <c r="D28" s="67"/>
      <c r="E28" s="67"/>
      <c r="F28" s="67"/>
      <c r="G28" s="67"/>
      <c r="H28" s="67"/>
    </row>
    <row r="29" spans="1:8" ht="18" customHeight="1" x14ac:dyDescent="0.3">
      <c r="A29" s="67" t="s">
        <v>202</v>
      </c>
      <c r="B29" s="67"/>
      <c r="C29" s="67"/>
      <c r="D29" s="67"/>
      <c r="E29" s="67"/>
      <c r="F29" s="67"/>
      <c r="G29" s="67"/>
      <c r="H29" s="67"/>
    </row>
    <row r="30" spans="1:8" ht="18" customHeight="1" x14ac:dyDescent="0.3">
      <c r="A30" s="67" t="s">
        <v>203</v>
      </c>
      <c r="B30" s="67"/>
      <c r="C30" s="67"/>
      <c r="D30" s="67"/>
      <c r="E30" s="67"/>
      <c r="F30" s="67"/>
      <c r="G30" s="67"/>
      <c r="H30" s="67"/>
    </row>
  </sheetData>
  <mergeCells count="17">
    <mergeCell ref="A1:H1"/>
    <mergeCell ref="A3:H3"/>
    <mergeCell ref="A4:B4"/>
    <mergeCell ref="C4:H4"/>
    <mergeCell ref="A5:B5"/>
    <mergeCell ref="C5:H5"/>
    <mergeCell ref="A6:B6"/>
    <mergeCell ref="C6:H6"/>
    <mergeCell ref="A7:B7"/>
    <mergeCell ref="C7:H7"/>
    <mergeCell ref="A9:H9"/>
    <mergeCell ref="A30:H30"/>
    <mergeCell ref="A18:H18"/>
    <mergeCell ref="A26:H26"/>
    <mergeCell ref="A27:H27"/>
    <mergeCell ref="A28:H28"/>
    <mergeCell ref="A29:H2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zoomScaleNormal="100" workbookViewId="0">
      <selection activeCell="E19" sqref="E19"/>
    </sheetView>
  </sheetViews>
  <sheetFormatPr defaultColWidth="8.6640625" defaultRowHeight="14.4" x14ac:dyDescent="0.3"/>
  <cols>
    <col min="1" max="1" width="9" customWidth="1"/>
    <col min="2" max="2" width="18" customWidth="1"/>
    <col min="3" max="4" width="12" customWidth="1"/>
    <col min="5" max="6" width="14" customWidth="1"/>
    <col min="7" max="7" width="16" customWidth="1"/>
    <col min="8" max="8" width="12" customWidth="1"/>
  </cols>
  <sheetData>
    <row r="1" spans="1:9" ht="27.75" customHeight="1" x14ac:dyDescent="0.3">
      <c r="A1" s="61" t="s">
        <v>204</v>
      </c>
      <c r="B1" s="61"/>
      <c r="C1" s="61"/>
      <c r="D1" s="61"/>
      <c r="E1" s="61"/>
      <c r="F1" s="61"/>
      <c r="G1" s="61"/>
      <c r="H1" s="61"/>
      <c r="I1" s="61"/>
    </row>
    <row r="3" spans="1:9" ht="21.75" customHeight="1" x14ac:dyDescent="0.3">
      <c r="A3" s="60" t="s">
        <v>205</v>
      </c>
      <c r="B3" s="60"/>
      <c r="C3" s="60"/>
      <c r="D3" s="60"/>
      <c r="E3" s="60"/>
      <c r="F3" s="60"/>
      <c r="G3" s="60"/>
      <c r="H3" s="60"/>
      <c r="I3" s="60"/>
    </row>
    <row r="4" spans="1:9" ht="21.75" customHeight="1" x14ac:dyDescent="0.3">
      <c r="A4" s="69" t="s">
        <v>113</v>
      </c>
      <c r="B4" s="69"/>
      <c r="C4" s="59" t="s">
        <v>206</v>
      </c>
      <c r="D4" s="59"/>
      <c r="E4" s="59"/>
      <c r="F4" s="59"/>
      <c r="G4" s="59"/>
      <c r="H4" s="59"/>
      <c r="I4" s="59"/>
    </row>
    <row r="5" spans="1:9" ht="21.75" customHeight="1" x14ac:dyDescent="0.3">
      <c r="A5" s="69" t="s">
        <v>207</v>
      </c>
      <c r="B5" s="69"/>
      <c r="C5" s="59" t="s">
        <v>208</v>
      </c>
      <c r="D5" s="59"/>
      <c r="E5" s="59"/>
      <c r="F5" s="59"/>
      <c r="G5" s="59"/>
      <c r="H5" s="59"/>
      <c r="I5" s="59"/>
    </row>
    <row r="6" spans="1:9" ht="21.75" customHeight="1" x14ac:dyDescent="0.3">
      <c r="A6" s="69" t="s">
        <v>209</v>
      </c>
      <c r="B6" s="69"/>
      <c r="C6" s="59" t="s">
        <v>210</v>
      </c>
      <c r="D6" s="59"/>
      <c r="E6" s="59"/>
      <c r="F6" s="59"/>
      <c r="G6" s="59"/>
      <c r="H6" s="59"/>
      <c r="I6" s="59"/>
    </row>
    <row r="7" spans="1:9" ht="21.75" customHeight="1" x14ac:dyDescent="0.3">
      <c r="A7" s="69" t="s">
        <v>211</v>
      </c>
      <c r="B7" s="69"/>
      <c r="C7" s="59" t="s">
        <v>212</v>
      </c>
      <c r="D7" s="59"/>
      <c r="E7" s="59"/>
      <c r="F7" s="59"/>
      <c r="G7" s="59"/>
      <c r="H7" s="59"/>
      <c r="I7" s="59"/>
    </row>
    <row r="9" spans="1:9" ht="21.75" customHeight="1" x14ac:dyDescent="0.3">
      <c r="A9" s="60" t="s">
        <v>213</v>
      </c>
      <c r="B9" s="60"/>
      <c r="C9" s="60"/>
      <c r="D9" s="60"/>
      <c r="E9" s="60"/>
      <c r="F9" s="60"/>
      <c r="G9" s="60"/>
      <c r="H9" s="60"/>
      <c r="I9" s="60"/>
    </row>
    <row r="10" spans="1:9" ht="15" customHeight="1" x14ac:dyDescent="0.3">
      <c r="A10" s="1" t="s">
        <v>214</v>
      </c>
      <c r="B10" s="1" t="s">
        <v>215</v>
      </c>
      <c r="C10" s="1" t="s">
        <v>216</v>
      </c>
      <c r="D10" s="1" t="s">
        <v>217</v>
      </c>
    </row>
    <row r="11" spans="1:9" ht="36" customHeight="1" x14ac:dyDescent="0.3">
      <c r="A11" s="24" t="s">
        <v>218</v>
      </c>
      <c r="B11" s="25" t="s">
        <v>219</v>
      </c>
      <c r="C11" s="26" t="str">
        <f>IFERROR(1/0,"Cannot divide by zero")</f>
        <v>Cannot divide by zero</v>
      </c>
      <c r="D11" s="27" t="s">
        <v>220</v>
      </c>
    </row>
    <row r="12" spans="1:9" ht="36" customHeight="1" x14ac:dyDescent="0.3">
      <c r="A12" s="28" t="s">
        <v>221</v>
      </c>
      <c r="B12" s="29" t="s">
        <v>222</v>
      </c>
      <c r="C12" s="30" t="str">
        <f ca="1">IFERROR(_xludf.xlookup("E999",'📦 Raw Data'!A$6:A$30,'📦 Raw Data'!B$6:B$30),"Not Found")</f>
        <v>Not Found</v>
      </c>
      <c r="D12" s="31" t="s">
        <v>223</v>
      </c>
    </row>
    <row r="13" spans="1:9" ht="36" customHeight="1" x14ac:dyDescent="0.3">
      <c r="A13" s="24" t="s">
        <v>224</v>
      </c>
      <c r="B13" s="25" t="s">
        <v>225</v>
      </c>
      <c r="C13" s="26">
        <f>IFERROR(G6/0,0)</f>
        <v>0</v>
      </c>
      <c r="D13" s="27" t="s">
        <v>226</v>
      </c>
    </row>
    <row r="14" spans="1:9" ht="36" customHeight="1" x14ac:dyDescent="0.3">
      <c r="A14" s="28" t="s">
        <v>227</v>
      </c>
      <c r="B14" s="29" t="s">
        <v>228</v>
      </c>
      <c r="C14" s="30" t="str">
        <f>IFERROR(MATCH("ZZZZ",'📦 Raw Data'!B$6:B$30,0),"No match found")</f>
        <v>No match found</v>
      </c>
      <c r="D14" s="30" t="str">
        <f>IFERROR(MATCH("ZZZZ",'📦 Raw Data'!B$6:B$30,0),"No match found")</f>
        <v>No match found</v>
      </c>
    </row>
    <row r="15" spans="1:9" ht="36" customHeight="1" x14ac:dyDescent="0.3">
      <c r="A15" s="24" t="s">
        <v>229</v>
      </c>
      <c r="B15" s="25" t="s">
        <v>230</v>
      </c>
      <c r="C15" s="26" t="str">
        <f>IFERROR(INDEX('📦 Raw Data'!A$6:A$15,99),"Row out of range")</f>
        <v>Row out of range</v>
      </c>
      <c r="D15" s="27" t="s">
        <v>231</v>
      </c>
    </row>
    <row r="17" spans="1:9" ht="21.75" customHeight="1" x14ac:dyDescent="0.3">
      <c r="A17" s="60" t="s">
        <v>232</v>
      </c>
      <c r="B17" s="60"/>
      <c r="C17" s="60"/>
      <c r="D17" s="60"/>
      <c r="E17" s="60"/>
      <c r="F17" s="60"/>
      <c r="G17" s="60"/>
      <c r="H17" s="60"/>
      <c r="I17" s="60"/>
    </row>
    <row r="18" spans="1:9" ht="15" customHeight="1" x14ac:dyDescent="0.3">
      <c r="A18" s="1" t="s">
        <v>3</v>
      </c>
      <c r="B18" s="1" t="s">
        <v>173</v>
      </c>
      <c r="C18" s="1" t="s">
        <v>16</v>
      </c>
      <c r="D18" s="1" t="s">
        <v>8</v>
      </c>
      <c r="E18" s="1" t="s">
        <v>233</v>
      </c>
      <c r="F18" s="1" t="s">
        <v>234</v>
      </c>
      <c r="G18" s="1" t="s">
        <v>235</v>
      </c>
      <c r="H18" s="1" t="s">
        <v>236</v>
      </c>
    </row>
    <row r="19" spans="1:9" ht="15" customHeight="1" x14ac:dyDescent="0.3">
      <c r="A19" s="16" t="s">
        <v>14</v>
      </c>
      <c r="B19" s="16" t="s">
        <v>15</v>
      </c>
      <c r="C19" s="17">
        <v>145000</v>
      </c>
      <c r="D19" s="17">
        <v>82000</v>
      </c>
      <c r="E19" s="5" t="str">
        <f ca="1">IFERROR(_xludf.xlookup(A19,'📦 Raw Data'!A$6:A$30,'📦 Raw Data'!K$6:K$30),"5%")</f>
        <v>5%</v>
      </c>
      <c r="F19" s="14">
        <f t="shared" ref="F19:F30" ca="1" si="0">IFERROR(C19*E19,0)</f>
        <v>7250</v>
      </c>
      <c r="G19" s="14">
        <f t="shared" ref="G19:G30" ca="1" si="1">IFERROR(D19+F19,D19)</f>
        <v>89250</v>
      </c>
      <c r="H19" s="11">
        <f t="shared" ref="H19:H30" ca="1" si="2">IFERROR(F19/D19,"N/A")</f>
        <v>8.8414634146341459E-2</v>
      </c>
    </row>
    <row r="20" spans="1:9" ht="15" customHeight="1" x14ac:dyDescent="0.3">
      <c r="A20" s="15" t="s">
        <v>21</v>
      </c>
      <c r="B20" s="15" t="s">
        <v>22</v>
      </c>
      <c r="C20" s="18">
        <v>0</v>
      </c>
      <c r="D20" s="18">
        <v>45000</v>
      </c>
      <c r="E20" s="3" t="str">
        <f ca="1">IFERROR(_xludf.xlookup(A20,'📦 Raw Data'!A$6:A$30,'📦 Raw Data'!K$6:K$30),"5%")</f>
        <v>5%</v>
      </c>
      <c r="F20" s="13">
        <f t="shared" ca="1" si="0"/>
        <v>0</v>
      </c>
      <c r="G20" s="13">
        <f t="shared" ca="1" si="1"/>
        <v>45000</v>
      </c>
      <c r="H20" s="12">
        <f t="shared" ca="1" si="2"/>
        <v>0</v>
      </c>
    </row>
    <row r="21" spans="1:9" ht="15" customHeight="1" x14ac:dyDescent="0.3">
      <c r="A21" s="16" t="s">
        <v>26</v>
      </c>
      <c r="B21" s="16" t="s">
        <v>27</v>
      </c>
      <c r="C21" s="17">
        <v>98000</v>
      </c>
      <c r="D21" s="17">
        <v>61000</v>
      </c>
      <c r="E21" s="5" t="str">
        <f ca="1">IFERROR(_xludf.xlookup(A21,'📦 Raw Data'!A$6:A$30,'📦 Raw Data'!K$6:K$30),"5%")</f>
        <v>5%</v>
      </c>
      <c r="F21" s="14">
        <f t="shared" ca="1" si="0"/>
        <v>4900</v>
      </c>
      <c r="G21" s="14">
        <f t="shared" ca="1" si="1"/>
        <v>65900</v>
      </c>
      <c r="H21" s="11">
        <f t="shared" ca="1" si="2"/>
        <v>8.0327868852459017E-2</v>
      </c>
    </row>
    <row r="22" spans="1:9" ht="15" customHeight="1" x14ac:dyDescent="0.3">
      <c r="A22" s="15" t="s">
        <v>31</v>
      </c>
      <c r="B22" s="15" t="s">
        <v>32</v>
      </c>
      <c r="C22" s="18">
        <v>0</v>
      </c>
      <c r="D22" s="18">
        <v>78000</v>
      </c>
      <c r="E22" s="3" t="str">
        <f ca="1">IFERROR(_xludf.xlookup(A22,'📦 Raw Data'!A$6:A$30,'📦 Raw Data'!K$6:K$30),"5%")</f>
        <v>5%</v>
      </c>
      <c r="F22" s="13">
        <f t="shared" ca="1" si="0"/>
        <v>0</v>
      </c>
      <c r="G22" s="13">
        <f t="shared" ca="1" si="1"/>
        <v>78000</v>
      </c>
      <c r="H22" s="12">
        <f t="shared" ca="1" si="2"/>
        <v>0</v>
      </c>
    </row>
    <row r="23" spans="1:9" ht="15" customHeight="1" x14ac:dyDescent="0.3">
      <c r="A23" s="16" t="s">
        <v>35</v>
      </c>
      <c r="B23" s="16" t="s">
        <v>36</v>
      </c>
      <c r="C23" s="17">
        <v>162000</v>
      </c>
      <c r="D23" s="17">
        <v>91000</v>
      </c>
      <c r="E23" s="5" t="str">
        <f ca="1">IFERROR(_xludf.xlookup(A23,'📦 Raw Data'!A$6:A$30,'📦 Raw Data'!K$6:K$30),"5%")</f>
        <v>5%</v>
      </c>
      <c r="F23" s="14">
        <f t="shared" ca="1" si="0"/>
        <v>8100</v>
      </c>
      <c r="G23" s="14">
        <f t="shared" ca="1" si="1"/>
        <v>99100</v>
      </c>
      <c r="H23" s="11">
        <f t="shared" ca="1" si="2"/>
        <v>8.9010989010989014E-2</v>
      </c>
    </row>
    <row r="24" spans="1:9" ht="15" customHeight="1" x14ac:dyDescent="0.3">
      <c r="A24" s="15" t="s">
        <v>37</v>
      </c>
      <c r="B24" s="15" t="s">
        <v>38</v>
      </c>
      <c r="C24" s="18">
        <v>0</v>
      </c>
      <c r="D24" s="18">
        <v>52000</v>
      </c>
      <c r="E24" s="3" t="str">
        <f ca="1">IFERROR(_xludf.xlookup(A24,'📦 Raw Data'!A$6:A$30,'📦 Raw Data'!K$6:K$30),"5%")</f>
        <v>5%</v>
      </c>
      <c r="F24" s="13">
        <f t="shared" ca="1" si="0"/>
        <v>0</v>
      </c>
      <c r="G24" s="13">
        <f t="shared" ca="1" si="1"/>
        <v>52000</v>
      </c>
      <c r="H24" s="12">
        <f t="shared" ca="1" si="2"/>
        <v>0</v>
      </c>
    </row>
    <row r="25" spans="1:9" ht="15" customHeight="1" x14ac:dyDescent="0.3">
      <c r="A25" s="16" t="s">
        <v>41</v>
      </c>
      <c r="B25" s="16" t="s">
        <v>42</v>
      </c>
      <c r="C25" s="17">
        <v>54000</v>
      </c>
      <c r="D25" s="17">
        <v>38000</v>
      </c>
      <c r="E25" s="5" t="str">
        <f ca="1">IFERROR(_xludf.xlookup(A25,'📦 Raw Data'!A$6:A$30,'📦 Raw Data'!K$6:K$30),"5%")</f>
        <v>5%</v>
      </c>
      <c r="F25" s="14">
        <f t="shared" ca="1" si="0"/>
        <v>2700</v>
      </c>
      <c r="G25" s="14">
        <f t="shared" ca="1" si="1"/>
        <v>40700</v>
      </c>
      <c r="H25" s="11">
        <f t="shared" ca="1" si="2"/>
        <v>7.1052631578947367E-2</v>
      </c>
    </row>
    <row r="26" spans="1:9" ht="15" customHeight="1" x14ac:dyDescent="0.3">
      <c r="A26" s="15" t="s">
        <v>43</v>
      </c>
      <c r="B26" s="15" t="s">
        <v>44</v>
      </c>
      <c r="C26" s="18">
        <v>0</v>
      </c>
      <c r="D26" s="18">
        <v>85000</v>
      </c>
      <c r="E26" s="3" t="str">
        <f ca="1">IFERROR(_xludf.xlookup(A26,'📦 Raw Data'!A$6:A$30,'📦 Raw Data'!K$6:K$30),"5%")</f>
        <v>5%</v>
      </c>
      <c r="F26" s="13">
        <f t="shared" ca="1" si="0"/>
        <v>0</v>
      </c>
      <c r="G26" s="13">
        <f t="shared" ca="1" si="1"/>
        <v>85000</v>
      </c>
      <c r="H26" s="12">
        <f t="shared" ca="1" si="2"/>
        <v>0</v>
      </c>
    </row>
    <row r="27" spans="1:9" ht="15" customHeight="1" x14ac:dyDescent="0.3">
      <c r="A27" s="16" t="s">
        <v>46</v>
      </c>
      <c r="B27" s="16" t="s">
        <v>47</v>
      </c>
      <c r="C27" s="17">
        <v>112000</v>
      </c>
      <c r="D27" s="17">
        <v>67000</v>
      </c>
      <c r="E27" s="5" t="str">
        <f ca="1">IFERROR(_xludf.xlookup(A27,'📦 Raw Data'!A$6:A$30,'📦 Raw Data'!K$6:K$30),"5%")</f>
        <v>5%</v>
      </c>
      <c r="F27" s="14">
        <f t="shared" ca="1" si="0"/>
        <v>5600</v>
      </c>
      <c r="G27" s="14">
        <f t="shared" ca="1" si="1"/>
        <v>72600</v>
      </c>
      <c r="H27" s="11">
        <f t="shared" ca="1" si="2"/>
        <v>8.3582089552238809E-2</v>
      </c>
    </row>
    <row r="28" spans="1:9" ht="15" customHeight="1" x14ac:dyDescent="0.3">
      <c r="A28" s="15" t="s">
        <v>49</v>
      </c>
      <c r="B28" s="15" t="s">
        <v>50</v>
      </c>
      <c r="C28" s="18">
        <v>0</v>
      </c>
      <c r="D28" s="18">
        <v>74000</v>
      </c>
      <c r="E28" s="3" t="str">
        <f ca="1">IFERROR(_xludf.xlookup(A28,'📦 Raw Data'!A$6:A$30,'📦 Raw Data'!K$6:K$30),"5%")</f>
        <v>5%</v>
      </c>
      <c r="F28" s="13">
        <f t="shared" ca="1" si="0"/>
        <v>0</v>
      </c>
      <c r="G28" s="13">
        <f t="shared" ca="1" si="1"/>
        <v>74000</v>
      </c>
      <c r="H28" s="12">
        <f t="shared" ca="1" si="2"/>
        <v>0</v>
      </c>
    </row>
    <row r="29" spans="1:9" ht="15" customHeight="1" x14ac:dyDescent="0.3">
      <c r="A29" s="16" t="s">
        <v>51</v>
      </c>
      <c r="B29" s="16" t="s">
        <v>52</v>
      </c>
      <c r="C29" s="17">
        <v>63000</v>
      </c>
      <c r="D29" s="17">
        <v>41000</v>
      </c>
      <c r="E29" s="5" t="str">
        <f ca="1">IFERROR(_xludf.xlookup(A29,'📦 Raw Data'!A$6:A$30,'📦 Raw Data'!K$6:K$30),"5%")</f>
        <v>5%</v>
      </c>
      <c r="F29" s="14">
        <f t="shared" ca="1" si="0"/>
        <v>3150</v>
      </c>
      <c r="G29" s="14">
        <f t="shared" ca="1" si="1"/>
        <v>44150</v>
      </c>
      <c r="H29" s="11">
        <f t="shared" ca="1" si="2"/>
        <v>7.6829268292682926E-2</v>
      </c>
    </row>
    <row r="30" spans="1:9" ht="15" customHeight="1" x14ac:dyDescent="0.3">
      <c r="A30" s="15" t="s">
        <v>54</v>
      </c>
      <c r="B30" s="15" t="s">
        <v>55</v>
      </c>
      <c r="C30" s="18">
        <v>0</v>
      </c>
      <c r="D30" s="18">
        <v>59000</v>
      </c>
      <c r="E30" s="3" t="str">
        <f ca="1">IFERROR(_xludf.xlookup(A30,'📦 Raw Data'!A$6:A$30,'📦 Raw Data'!K$6:K$30),"5%")</f>
        <v>5%</v>
      </c>
      <c r="F30" s="13">
        <f t="shared" ca="1" si="0"/>
        <v>0</v>
      </c>
      <c r="G30" s="13">
        <f t="shared" ca="1" si="1"/>
        <v>59000</v>
      </c>
      <c r="H30" s="12">
        <f t="shared" ca="1" si="2"/>
        <v>0</v>
      </c>
    </row>
    <row r="32" spans="1:9" ht="21.75" customHeight="1" x14ac:dyDescent="0.3">
      <c r="A32" s="60" t="s">
        <v>133</v>
      </c>
      <c r="B32" s="60"/>
      <c r="C32" s="60"/>
      <c r="D32" s="60"/>
      <c r="E32" s="60"/>
      <c r="F32" s="60"/>
      <c r="G32" s="60"/>
      <c r="H32" s="60"/>
      <c r="I32" s="60"/>
    </row>
    <row r="33" spans="1:9" ht="18" customHeight="1" x14ac:dyDescent="0.3">
      <c r="A33" s="62" t="s">
        <v>237</v>
      </c>
      <c r="B33" s="62"/>
      <c r="C33" s="62"/>
      <c r="D33" s="62"/>
      <c r="E33" s="62"/>
      <c r="F33" s="62"/>
      <c r="G33" s="62"/>
      <c r="H33" s="62"/>
      <c r="I33" s="62"/>
    </row>
    <row r="34" spans="1:9" ht="18" customHeight="1" x14ac:dyDescent="0.3">
      <c r="A34" s="62"/>
      <c r="B34" s="62"/>
      <c r="C34" s="62"/>
      <c r="D34" s="62"/>
      <c r="E34" s="62"/>
      <c r="F34" s="62"/>
      <c r="G34" s="62"/>
      <c r="H34" s="62"/>
      <c r="I34" s="62"/>
    </row>
    <row r="35" spans="1:9" ht="18" customHeight="1" x14ac:dyDescent="0.3">
      <c r="A35" s="62" t="s">
        <v>238</v>
      </c>
      <c r="B35" s="62"/>
      <c r="C35" s="62"/>
      <c r="D35" s="62"/>
      <c r="E35" s="62"/>
      <c r="F35" s="62"/>
      <c r="G35" s="62"/>
      <c r="H35" s="62"/>
      <c r="I35" s="62"/>
    </row>
    <row r="36" spans="1:9" ht="18" customHeight="1" x14ac:dyDescent="0.3">
      <c r="A36" s="62" t="s">
        <v>239</v>
      </c>
      <c r="B36" s="62"/>
      <c r="C36" s="62"/>
      <c r="D36" s="62"/>
      <c r="E36" s="62"/>
      <c r="F36" s="62"/>
      <c r="G36" s="62"/>
      <c r="H36" s="62"/>
      <c r="I36" s="62"/>
    </row>
  </sheetData>
  <mergeCells count="17">
    <mergeCell ref="A1:I1"/>
    <mergeCell ref="A3:I3"/>
    <mergeCell ref="A4:B4"/>
    <mergeCell ref="C4:I4"/>
    <mergeCell ref="A5:B5"/>
    <mergeCell ref="C5:I5"/>
    <mergeCell ref="A6:B6"/>
    <mergeCell ref="C6:I6"/>
    <mergeCell ref="A7:B7"/>
    <mergeCell ref="C7:I7"/>
    <mergeCell ref="A9:I9"/>
    <mergeCell ref="A36:I36"/>
    <mergeCell ref="A17:I17"/>
    <mergeCell ref="A32:I32"/>
    <mergeCell ref="A33:I33"/>
    <mergeCell ref="A34:I34"/>
    <mergeCell ref="A35:I3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0"/>
  <sheetViews>
    <sheetView topLeftCell="C1" zoomScaleNormal="100" workbookViewId="0">
      <selection activeCell="C30" sqref="C30"/>
    </sheetView>
  </sheetViews>
  <sheetFormatPr defaultColWidth="8.6640625" defaultRowHeight="14.4" x14ac:dyDescent="0.3"/>
  <cols>
    <col min="1" max="1" width="11" customWidth="1"/>
    <col min="2" max="2" width="18" customWidth="1"/>
    <col min="3" max="3" width="36.6640625" bestFit="1" customWidth="1"/>
    <col min="4" max="4" width="67.5546875" bestFit="1" customWidth="1"/>
    <col min="5" max="5" width="9" customWidth="1"/>
    <col min="6" max="6" width="10.88671875" bestFit="1" customWidth="1"/>
    <col min="7" max="7" width="9" customWidth="1"/>
    <col min="8" max="8" width="15" customWidth="1"/>
    <col min="9" max="9" width="11" customWidth="1"/>
    <col min="10" max="10" width="9" customWidth="1"/>
    <col min="11" max="11" width="8" customWidth="1"/>
    <col min="12" max="12" width="12" customWidth="1"/>
  </cols>
  <sheetData>
    <row r="1" spans="1:12" ht="27.75" customHeight="1" x14ac:dyDescent="0.3">
      <c r="A1" s="61" t="s">
        <v>240</v>
      </c>
      <c r="B1" s="61"/>
      <c r="C1" s="61"/>
      <c r="D1" s="61"/>
      <c r="E1" s="61"/>
      <c r="F1" s="61"/>
      <c r="G1" s="61"/>
      <c r="H1" s="61"/>
      <c r="I1" s="61"/>
      <c r="J1" s="61"/>
    </row>
    <row r="2" spans="1:12" ht="21.75" customHeight="1" x14ac:dyDescent="0.3">
      <c r="A2" s="60" t="s">
        <v>241</v>
      </c>
      <c r="B2" s="60"/>
      <c r="C2" s="60"/>
      <c r="D2" s="60"/>
      <c r="E2" s="60"/>
      <c r="F2" s="60"/>
      <c r="G2" s="60"/>
      <c r="H2" s="60"/>
      <c r="I2" s="60"/>
      <c r="J2" s="60"/>
    </row>
    <row r="4" spans="1:12" ht="21.75" customHeight="1" x14ac:dyDescent="0.3">
      <c r="A4" s="60" t="s">
        <v>242</v>
      </c>
      <c r="B4" s="60"/>
      <c r="C4" s="60"/>
      <c r="D4" s="60"/>
      <c r="E4" s="60"/>
      <c r="F4" s="60"/>
      <c r="G4" s="60"/>
      <c r="H4" s="60"/>
      <c r="I4" s="60"/>
      <c r="J4" s="60"/>
    </row>
    <row r="5" spans="1:12" ht="15" customHeight="1" x14ac:dyDescent="0.3">
      <c r="A5" s="1" t="s">
        <v>243</v>
      </c>
      <c r="B5" s="1" t="s">
        <v>244</v>
      </c>
      <c r="C5" s="1" t="s">
        <v>245</v>
      </c>
      <c r="D5" s="1" t="s">
        <v>246</v>
      </c>
      <c r="E5" s="1" t="s">
        <v>247</v>
      </c>
      <c r="F5" s="1" t="s">
        <v>248</v>
      </c>
      <c r="G5" s="1" t="s">
        <v>249</v>
      </c>
      <c r="H5" s="1" t="s">
        <v>250</v>
      </c>
      <c r="I5" s="1" t="s">
        <v>251</v>
      </c>
      <c r="J5" s="1" t="s">
        <v>252</v>
      </c>
      <c r="K5" s="1" t="s">
        <v>253</v>
      </c>
      <c r="L5" s="1" t="s">
        <v>12</v>
      </c>
    </row>
    <row r="6" spans="1:12" ht="15" customHeight="1" x14ac:dyDescent="0.3">
      <c r="A6" s="2" t="s">
        <v>254</v>
      </c>
      <c r="B6" s="2" t="s">
        <v>255</v>
      </c>
      <c r="C6" s="2" t="s">
        <v>248</v>
      </c>
      <c r="D6" s="2" t="s">
        <v>256</v>
      </c>
      <c r="E6" s="2">
        <v>78</v>
      </c>
      <c r="F6" s="2">
        <v>82</v>
      </c>
      <c r="G6" s="2">
        <v>91</v>
      </c>
      <c r="H6" s="2">
        <v>88</v>
      </c>
      <c r="I6" s="2" t="s">
        <v>257</v>
      </c>
      <c r="J6" s="32">
        <f t="shared" ref="J6:J25" si="0">IFERROR(AVERAGE(E6:H6),0)</f>
        <v>84.75</v>
      </c>
      <c r="K6" s="10" t="str">
        <f t="shared" ref="K6:K25" si="1">IF(J6&gt;=90,"A+",IF(J6&gt;=80,"A",IF(J6&gt;=70,"B",IF(J6&gt;=60,"C",IF(J6&gt;=50,"D","F")))))</f>
        <v>A</v>
      </c>
      <c r="L6" s="10" t="str">
        <f t="shared" ref="L6:L25" si="2">IFERROR(IF(AND(J6&gt;=50,I6="Present"),"PASS","Review"),"Error")</f>
        <v>PASS</v>
      </c>
    </row>
    <row r="7" spans="1:12" ht="15" customHeight="1" x14ac:dyDescent="0.3">
      <c r="A7" s="4" t="s">
        <v>258</v>
      </c>
      <c r="B7" s="4" t="s">
        <v>259</v>
      </c>
      <c r="C7" s="4" t="s">
        <v>260</v>
      </c>
      <c r="D7" s="4" t="s">
        <v>261</v>
      </c>
      <c r="E7" s="4">
        <v>55</v>
      </c>
      <c r="F7" s="4">
        <v>60</v>
      </c>
      <c r="G7" s="4">
        <v>48</v>
      </c>
      <c r="H7" s="4">
        <v>52</v>
      </c>
      <c r="I7" s="4" t="s">
        <v>257</v>
      </c>
      <c r="J7" s="33">
        <f t="shared" si="0"/>
        <v>53.75</v>
      </c>
      <c r="K7" s="9" t="str">
        <f t="shared" si="1"/>
        <v>D</v>
      </c>
      <c r="L7" s="9" t="str">
        <f t="shared" si="2"/>
        <v>PASS</v>
      </c>
    </row>
    <row r="8" spans="1:12" ht="15" customHeight="1" x14ac:dyDescent="0.3">
      <c r="A8" s="2" t="s">
        <v>262</v>
      </c>
      <c r="B8" s="2" t="s">
        <v>263</v>
      </c>
      <c r="C8" s="2" t="s">
        <v>264</v>
      </c>
      <c r="D8" s="2" t="s">
        <v>265</v>
      </c>
      <c r="E8" s="2">
        <v>90</v>
      </c>
      <c r="F8" s="2">
        <v>88</v>
      </c>
      <c r="G8" s="2">
        <v>95</v>
      </c>
      <c r="H8" s="2">
        <v>92</v>
      </c>
      <c r="I8" s="2" t="s">
        <v>257</v>
      </c>
      <c r="J8" s="32">
        <f t="shared" si="0"/>
        <v>91.25</v>
      </c>
      <c r="K8" s="10" t="str">
        <f t="shared" si="1"/>
        <v>A+</v>
      </c>
      <c r="L8" s="10" t="str">
        <f t="shared" si="2"/>
        <v>PASS</v>
      </c>
    </row>
    <row r="9" spans="1:12" ht="15" customHeight="1" x14ac:dyDescent="0.3">
      <c r="A9" s="4" t="s">
        <v>266</v>
      </c>
      <c r="B9" s="4" t="s">
        <v>267</v>
      </c>
      <c r="C9" s="4" t="s">
        <v>248</v>
      </c>
      <c r="D9" s="4" t="s">
        <v>268</v>
      </c>
      <c r="E9" s="4">
        <v>44</v>
      </c>
      <c r="F9" s="4">
        <v>50</v>
      </c>
      <c r="G9" s="4">
        <v>38</v>
      </c>
      <c r="H9" s="4">
        <v>42</v>
      </c>
      <c r="I9" s="4" t="s">
        <v>269</v>
      </c>
      <c r="J9" s="33">
        <f t="shared" si="0"/>
        <v>43.5</v>
      </c>
      <c r="K9" s="9" t="str">
        <f t="shared" si="1"/>
        <v>F</v>
      </c>
      <c r="L9" s="9" t="str">
        <f t="shared" si="2"/>
        <v>Review</v>
      </c>
    </row>
    <row r="10" spans="1:12" ht="15" customHeight="1" x14ac:dyDescent="0.3">
      <c r="A10" s="2" t="s">
        <v>270</v>
      </c>
      <c r="B10" s="2" t="s">
        <v>271</v>
      </c>
      <c r="C10" s="2" t="s">
        <v>260</v>
      </c>
      <c r="D10" s="2" t="s">
        <v>272</v>
      </c>
      <c r="E10" s="2">
        <v>72</v>
      </c>
      <c r="F10" s="2">
        <v>68</v>
      </c>
      <c r="G10" s="2">
        <v>75</v>
      </c>
      <c r="H10" s="2">
        <v>70</v>
      </c>
      <c r="I10" s="2" t="s">
        <v>257</v>
      </c>
      <c r="J10" s="32">
        <f t="shared" si="0"/>
        <v>71.25</v>
      </c>
      <c r="K10" s="10" t="str">
        <f t="shared" si="1"/>
        <v>B</v>
      </c>
      <c r="L10" s="10" t="str">
        <f t="shared" si="2"/>
        <v>PASS</v>
      </c>
    </row>
    <row r="11" spans="1:12" ht="15" customHeight="1" x14ac:dyDescent="0.3">
      <c r="A11" s="4" t="s">
        <v>273</v>
      </c>
      <c r="B11" s="4" t="s">
        <v>274</v>
      </c>
      <c r="C11" s="4" t="s">
        <v>264</v>
      </c>
      <c r="D11" s="4" t="s">
        <v>275</v>
      </c>
      <c r="E11" s="4">
        <v>85</v>
      </c>
      <c r="F11" s="4">
        <v>88</v>
      </c>
      <c r="G11" s="4">
        <v>82</v>
      </c>
      <c r="H11" s="4">
        <v>87</v>
      </c>
      <c r="I11" s="4" t="s">
        <v>257</v>
      </c>
      <c r="J11" s="33">
        <f t="shared" si="0"/>
        <v>85.5</v>
      </c>
      <c r="K11" s="9" t="str">
        <f t="shared" si="1"/>
        <v>A</v>
      </c>
      <c r="L11" s="9" t="str">
        <f t="shared" si="2"/>
        <v>PASS</v>
      </c>
    </row>
    <row r="12" spans="1:12" ht="15" customHeight="1" x14ac:dyDescent="0.3">
      <c r="A12" s="2" t="s">
        <v>276</v>
      </c>
      <c r="B12" s="2" t="s">
        <v>277</v>
      </c>
      <c r="C12" s="2" t="s">
        <v>248</v>
      </c>
      <c r="D12" s="2" t="s">
        <v>256</v>
      </c>
      <c r="E12" s="2">
        <v>33</v>
      </c>
      <c r="F12" s="2">
        <v>28</v>
      </c>
      <c r="G12" s="2">
        <v>40</v>
      </c>
      <c r="H12" s="2">
        <v>35</v>
      </c>
      <c r="I12" s="2" t="s">
        <v>257</v>
      </c>
      <c r="J12" s="32">
        <f t="shared" si="0"/>
        <v>34</v>
      </c>
      <c r="K12" s="10" t="str">
        <f t="shared" si="1"/>
        <v>F</v>
      </c>
      <c r="L12" s="10" t="str">
        <f t="shared" si="2"/>
        <v>Review</v>
      </c>
    </row>
    <row r="13" spans="1:12" ht="15" customHeight="1" x14ac:dyDescent="0.3">
      <c r="A13" s="4" t="s">
        <v>278</v>
      </c>
      <c r="B13" s="4" t="s">
        <v>279</v>
      </c>
      <c r="C13" s="4" t="s">
        <v>260</v>
      </c>
      <c r="D13" s="4" t="s">
        <v>261</v>
      </c>
      <c r="E13" s="4">
        <v>96</v>
      </c>
      <c r="F13" s="4">
        <v>94</v>
      </c>
      <c r="G13" s="4">
        <v>98</v>
      </c>
      <c r="H13" s="4">
        <v>95</v>
      </c>
      <c r="I13" s="4" t="s">
        <v>257</v>
      </c>
      <c r="J13" s="33">
        <f t="shared" si="0"/>
        <v>95.75</v>
      </c>
      <c r="K13" s="9" t="str">
        <f t="shared" si="1"/>
        <v>A+</v>
      </c>
      <c r="L13" s="9" t="str">
        <f t="shared" si="2"/>
        <v>PASS</v>
      </c>
    </row>
    <row r="14" spans="1:12" ht="15" customHeight="1" x14ac:dyDescent="0.3">
      <c r="A14" s="2" t="s">
        <v>280</v>
      </c>
      <c r="B14" s="2" t="s">
        <v>281</v>
      </c>
      <c r="C14" s="2" t="s">
        <v>264</v>
      </c>
      <c r="D14" s="2" t="s">
        <v>265</v>
      </c>
      <c r="E14" s="2">
        <v>61</v>
      </c>
      <c r="F14" s="2">
        <v>65</v>
      </c>
      <c r="G14" s="2">
        <v>58</v>
      </c>
      <c r="H14" s="2">
        <v>63</v>
      </c>
      <c r="I14" s="2" t="s">
        <v>269</v>
      </c>
      <c r="J14" s="32">
        <f t="shared" si="0"/>
        <v>61.75</v>
      </c>
      <c r="K14" s="10" t="str">
        <f t="shared" si="1"/>
        <v>C</v>
      </c>
      <c r="L14" s="10" t="str">
        <f t="shared" si="2"/>
        <v>Review</v>
      </c>
    </row>
    <row r="15" spans="1:12" ht="15" customHeight="1" x14ac:dyDescent="0.3">
      <c r="A15" s="4" t="s">
        <v>282</v>
      </c>
      <c r="B15" s="4" t="s">
        <v>283</v>
      </c>
      <c r="C15" s="4" t="s">
        <v>248</v>
      </c>
      <c r="D15" s="4" t="s">
        <v>268</v>
      </c>
      <c r="E15" s="4">
        <v>77</v>
      </c>
      <c r="F15" s="4">
        <v>80</v>
      </c>
      <c r="G15" s="4">
        <v>74</v>
      </c>
      <c r="H15" s="4">
        <v>78</v>
      </c>
      <c r="I15" s="4" t="s">
        <v>257</v>
      </c>
      <c r="J15" s="33">
        <f t="shared" si="0"/>
        <v>77.25</v>
      </c>
      <c r="K15" s="9" t="str">
        <f t="shared" si="1"/>
        <v>B</v>
      </c>
      <c r="L15" s="9" t="str">
        <f t="shared" si="2"/>
        <v>PASS</v>
      </c>
    </row>
    <row r="16" spans="1:12" ht="15" customHeight="1" x14ac:dyDescent="0.3">
      <c r="A16" s="2" t="s">
        <v>284</v>
      </c>
      <c r="B16" s="2" t="s">
        <v>285</v>
      </c>
      <c r="C16" s="2" t="s">
        <v>260</v>
      </c>
      <c r="D16" s="2" t="s">
        <v>272</v>
      </c>
      <c r="E16" s="2">
        <v>88</v>
      </c>
      <c r="F16" s="2">
        <v>85</v>
      </c>
      <c r="G16" s="2">
        <v>90</v>
      </c>
      <c r="H16" s="2">
        <v>86</v>
      </c>
      <c r="I16" s="2" t="s">
        <v>257</v>
      </c>
      <c r="J16" s="32">
        <f t="shared" si="0"/>
        <v>87.25</v>
      </c>
      <c r="K16" s="10" t="str">
        <f t="shared" si="1"/>
        <v>A</v>
      </c>
      <c r="L16" s="10" t="str">
        <f t="shared" si="2"/>
        <v>PASS</v>
      </c>
    </row>
    <row r="17" spans="1:12" ht="15" customHeight="1" x14ac:dyDescent="0.3">
      <c r="A17" s="4" t="s">
        <v>286</v>
      </c>
      <c r="B17" s="4" t="s">
        <v>287</v>
      </c>
      <c r="C17" s="4" t="s">
        <v>264</v>
      </c>
      <c r="D17" s="4" t="s">
        <v>275</v>
      </c>
      <c r="E17" s="4">
        <v>52</v>
      </c>
      <c r="F17" s="4">
        <v>48</v>
      </c>
      <c r="G17" s="4">
        <v>55</v>
      </c>
      <c r="H17" s="4">
        <v>50</v>
      </c>
      <c r="I17" s="4" t="s">
        <v>257</v>
      </c>
      <c r="J17" s="33">
        <f t="shared" si="0"/>
        <v>51.25</v>
      </c>
      <c r="K17" s="9" t="str">
        <f t="shared" si="1"/>
        <v>D</v>
      </c>
      <c r="L17" s="9" t="str">
        <f t="shared" si="2"/>
        <v>PASS</v>
      </c>
    </row>
    <row r="18" spans="1:12" ht="15" customHeight="1" x14ac:dyDescent="0.3">
      <c r="A18" s="2" t="s">
        <v>288</v>
      </c>
      <c r="B18" s="2" t="s">
        <v>289</v>
      </c>
      <c r="C18" s="2" t="s">
        <v>248</v>
      </c>
      <c r="D18" s="2" t="s">
        <v>256</v>
      </c>
      <c r="E18" s="2">
        <v>65</v>
      </c>
      <c r="F18" s="2">
        <v>70</v>
      </c>
      <c r="G18" s="2">
        <v>62</v>
      </c>
      <c r="H18" s="2">
        <v>68</v>
      </c>
      <c r="I18" s="2" t="s">
        <v>257</v>
      </c>
      <c r="J18" s="32">
        <f t="shared" si="0"/>
        <v>66.25</v>
      </c>
      <c r="K18" s="10" t="str">
        <f t="shared" si="1"/>
        <v>C</v>
      </c>
      <c r="L18" s="10" t="str">
        <f t="shared" si="2"/>
        <v>PASS</v>
      </c>
    </row>
    <row r="19" spans="1:12" ht="15" customHeight="1" x14ac:dyDescent="0.3">
      <c r="A19" s="4" t="s">
        <v>290</v>
      </c>
      <c r="B19" s="4" t="s">
        <v>291</v>
      </c>
      <c r="C19" s="4" t="s">
        <v>260</v>
      </c>
      <c r="D19" s="4" t="s">
        <v>261</v>
      </c>
      <c r="E19" s="4">
        <v>41</v>
      </c>
      <c r="F19" s="4">
        <v>38</v>
      </c>
      <c r="G19" s="4">
        <v>44</v>
      </c>
      <c r="H19" s="4">
        <v>40</v>
      </c>
      <c r="I19" s="4" t="s">
        <v>269</v>
      </c>
      <c r="J19" s="33">
        <f t="shared" si="0"/>
        <v>40.75</v>
      </c>
      <c r="K19" s="9" t="str">
        <f t="shared" si="1"/>
        <v>F</v>
      </c>
      <c r="L19" s="9" t="str">
        <f t="shared" si="2"/>
        <v>Review</v>
      </c>
    </row>
    <row r="20" spans="1:12" ht="15" customHeight="1" x14ac:dyDescent="0.3">
      <c r="A20" s="2" t="s">
        <v>292</v>
      </c>
      <c r="B20" s="2" t="s">
        <v>293</v>
      </c>
      <c r="C20" s="2" t="s">
        <v>264</v>
      </c>
      <c r="D20" s="2" t="s">
        <v>265</v>
      </c>
      <c r="E20" s="2">
        <v>93</v>
      </c>
      <c r="F20" s="2">
        <v>91</v>
      </c>
      <c r="G20" s="2">
        <v>96</v>
      </c>
      <c r="H20" s="2">
        <v>94</v>
      </c>
      <c r="I20" s="2" t="s">
        <v>257</v>
      </c>
      <c r="J20" s="32">
        <f t="shared" si="0"/>
        <v>93.5</v>
      </c>
      <c r="K20" s="10" t="str">
        <f t="shared" si="1"/>
        <v>A+</v>
      </c>
      <c r="L20" s="10" t="str">
        <f t="shared" si="2"/>
        <v>PASS</v>
      </c>
    </row>
    <row r="21" spans="1:12" ht="15" customHeight="1" x14ac:dyDescent="0.3">
      <c r="A21" s="4" t="s">
        <v>294</v>
      </c>
      <c r="B21" s="4" t="s">
        <v>295</v>
      </c>
      <c r="C21" s="4" t="s">
        <v>248</v>
      </c>
      <c r="D21" s="4" t="s">
        <v>268</v>
      </c>
      <c r="E21" s="4">
        <v>79</v>
      </c>
      <c r="F21" s="4">
        <v>82</v>
      </c>
      <c r="G21" s="4">
        <v>76</v>
      </c>
      <c r="H21" s="4">
        <v>80</v>
      </c>
      <c r="I21" s="4" t="s">
        <v>257</v>
      </c>
      <c r="J21" s="33">
        <f t="shared" si="0"/>
        <v>79.25</v>
      </c>
      <c r="K21" s="9" t="str">
        <f t="shared" si="1"/>
        <v>B</v>
      </c>
      <c r="L21" s="9" t="str">
        <f t="shared" si="2"/>
        <v>PASS</v>
      </c>
    </row>
    <row r="22" spans="1:12" ht="15" customHeight="1" x14ac:dyDescent="0.3">
      <c r="A22" s="2" t="s">
        <v>296</v>
      </c>
      <c r="B22" s="2" t="s">
        <v>297</v>
      </c>
      <c r="C22" s="2" t="s">
        <v>260</v>
      </c>
      <c r="D22" s="2" t="s">
        <v>272</v>
      </c>
      <c r="E22" s="2">
        <v>58</v>
      </c>
      <c r="F22" s="2">
        <v>55</v>
      </c>
      <c r="G22" s="2">
        <v>61</v>
      </c>
      <c r="H22" s="2">
        <v>57</v>
      </c>
      <c r="I22" s="2" t="s">
        <v>257</v>
      </c>
      <c r="J22" s="32">
        <f t="shared" si="0"/>
        <v>57.75</v>
      </c>
      <c r="K22" s="10" t="str">
        <f t="shared" si="1"/>
        <v>D</v>
      </c>
      <c r="L22" s="10" t="str">
        <f t="shared" si="2"/>
        <v>PASS</v>
      </c>
    </row>
    <row r="23" spans="1:12" ht="15" customHeight="1" x14ac:dyDescent="0.3">
      <c r="A23" s="4" t="s">
        <v>298</v>
      </c>
      <c r="B23" s="4" t="s">
        <v>299</v>
      </c>
      <c r="C23" s="4" t="s">
        <v>264</v>
      </c>
      <c r="D23" s="4" t="s">
        <v>275</v>
      </c>
      <c r="E23" s="4">
        <v>87</v>
      </c>
      <c r="F23" s="4">
        <v>90</v>
      </c>
      <c r="G23" s="4">
        <v>84</v>
      </c>
      <c r="H23" s="4">
        <v>88</v>
      </c>
      <c r="I23" s="4" t="s">
        <v>269</v>
      </c>
      <c r="J23" s="33">
        <f t="shared" si="0"/>
        <v>87.25</v>
      </c>
      <c r="K23" s="9" t="str">
        <f t="shared" si="1"/>
        <v>A</v>
      </c>
      <c r="L23" s="9" t="str">
        <f t="shared" si="2"/>
        <v>Review</v>
      </c>
    </row>
    <row r="24" spans="1:12" ht="15" customHeight="1" x14ac:dyDescent="0.3">
      <c r="A24" s="2" t="s">
        <v>300</v>
      </c>
      <c r="B24" s="2" t="s">
        <v>301</v>
      </c>
      <c r="C24" s="2" t="s">
        <v>248</v>
      </c>
      <c r="D24" s="2" t="s">
        <v>256</v>
      </c>
      <c r="E24" s="2">
        <v>70</v>
      </c>
      <c r="F24" s="2">
        <v>73</v>
      </c>
      <c r="G24" s="2">
        <v>67</v>
      </c>
      <c r="H24" s="2">
        <v>71</v>
      </c>
      <c r="I24" s="2" t="s">
        <v>257</v>
      </c>
      <c r="J24" s="32">
        <f t="shared" si="0"/>
        <v>70.25</v>
      </c>
      <c r="K24" s="10" t="str">
        <f t="shared" si="1"/>
        <v>B</v>
      </c>
      <c r="L24" s="10" t="str">
        <f t="shared" si="2"/>
        <v>PASS</v>
      </c>
    </row>
    <row r="25" spans="1:12" ht="15" customHeight="1" x14ac:dyDescent="0.3">
      <c r="A25" s="4" t="s">
        <v>302</v>
      </c>
      <c r="B25" s="4" t="s">
        <v>303</v>
      </c>
      <c r="C25" s="4" t="s">
        <v>260</v>
      </c>
      <c r="D25" s="4" t="s">
        <v>261</v>
      </c>
      <c r="E25" s="4">
        <v>100</v>
      </c>
      <c r="F25" s="4">
        <v>98</v>
      </c>
      <c r="G25" s="4">
        <v>99</v>
      </c>
      <c r="H25" s="4">
        <v>100</v>
      </c>
      <c r="I25" s="4" t="s">
        <v>257</v>
      </c>
      <c r="J25" s="33">
        <f t="shared" si="0"/>
        <v>99.25</v>
      </c>
      <c r="K25" s="9" t="str">
        <f t="shared" si="1"/>
        <v>A+</v>
      </c>
      <c r="L25" s="9" t="str">
        <f t="shared" si="2"/>
        <v>PASS</v>
      </c>
    </row>
    <row r="27" spans="1:12" ht="21.75" customHeight="1" x14ac:dyDescent="0.3">
      <c r="A27" s="60" t="s">
        <v>304</v>
      </c>
      <c r="B27" s="60"/>
      <c r="C27" s="60"/>
      <c r="D27" s="60"/>
      <c r="E27" s="60"/>
      <c r="F27" s="60"/>
      <c r="G27" s="60"/>
      <c r="H27" s="60"/>
      <c r="I27" s="60"/>
      <c r="J27" s="60"/>
    </row>
    <row r="28" spans="1:12" ht="15" customHeight="1" x14ac:dyDescent="0.3">
      <c r="A28" s="1" t="s">
        <v>305</v>
      </c>
      <c r="B28" s="1" t="s">
        <v>306</v>
      </c>
      <c r="C28" s="1" t="s">
        <v>307</v>
      </c>
      <c r="D28" s="1" t="s">
        <v>308</v>
      </c>
      <c r="E28" s="1" t="s">
        <v>309</v>
      </c>
      <c r="F28" s="1" t="s">
        <v>310</v>
      </c>
    </row>
    <row r="29" spans="1:12" ht="36" customHeight="1" x14ac:dyDescent="0.3">
      <c r="A29" s="16" t="s">
        <v>311</v>
      </c>
      <c r="B29" s="19" t="s">
        <v>312</v>
      </c>
      <c r="C29" s="34" t="s">
        <v>313</v>
      </c>
      <c r="D29" s="26" t="s">
        <v>314</v>
      </c>
      <c r="E29" s="35"/>
      <c r="F29" s="9" t="str">
        <f t="shared" ref="F29:F34" si="3">IFERROR(IF(E29="","⬜ Empty",IF(E29=D29,"✅ Correct!","❌ Try again")),"—")</f>
        <v>⬜ Empty</v>
      </c>
    </row>
    <row r="30" spans="1:12" ht="36" customHeight="1" x14ac:dyDescent="0.3">
      <c r="A30" s="16" t="s">
        <v>315</v>
      </c>
      <c r="B30" s="19" t="s">
        <v>316</v>
      </c>
      <c r="C30" s="34" t="s">
        <v>317</v>
      </c>
      <c r="D30" s="26" t="str">
        <f>INDEX(B6:B25,MATCH(MAX(G6:G25),G6:G25,0))</f>
        <v>Tanvi Yadav</v>
      </c>
      <c r="E30" s="35"/>
      <c r="F30" s="9" t="str">
        <f t="shared" si="3"/>
        <v>⬜ Empty</v>
      </c>
    </row>
    <row r="31" spans="1:12" ht="36" customHeight="1" x14ac:dyDescent="0.3">
      <c r="A31" s="16" t="s">
        <v>318</v>
      </c>
      <c r="B31" s="19" t="s">
        <v>319</v>
      </c>
      <c r="C31" s="34" t="s">
        <v>320</v>
      </c>
      <c r="D31" s="26" t="s">
        <v>321</v>
      </c>
      <c r="E31" s="35"/>
      <c r="F31" s="9" t="str">
        <f t="shared" si="3"/>
        <v>⬜ Empty</v>
      </c>
    </row>
    <row r="32" spans="1:12" ht="36" customHeight="1" x14ac:dyDescent="0.3">
      <c r="A32" s="16" t="s">
        <v>322</v>
      </c>
      <c r="B32" s="19" t="s">
        <v>323</v>
      </c>
      <c r="C32" s="34" t="s">
        <v>324</v>
      </c>
      <c r="D32" s="26" t="s">
        <v>325</v>
      </c>
      <c r="E32" s="35"/>
      <c r="F32" s="9" t="str">
        <f t="shared" si="3"/>
        <v>⬜ Empty</v>
      </c>
    </row>
    <row r="33" spans="1:10" ht="36" customHeight="1" x14ac:dyDescent="0.3">
      <c r="A33" s="16" t="s">
        <v>326</v>
      </c>
      <c r="B33" s="19" t="s">
        <v>327</v>
      </c>
      <c r="C33" s="34" t="s">
        <v>328</v>
      </c>
      <c r="D33" s="26" t="str">
        <f ca="1">IFERROR(_xludf.xlookup("S099",A6:A25,B6:B25),"Student not enrolled")</f>
        <v>Student not enrolled</v>
      </c>
      <c r="E33" s="35"/>
      <c r="F33" s="9" t="str">
        <f t="shared" si="3"/>
        <v>⬜ Empty</v>
      </c>
    </row>
    <row r="34" spans="1:10" ht="36" customHeight="1" x14ac:dyDescent="0.3">
      <c r="A34" s="16" t="s">
        <v>329</v>
      </c>
      <c r="B34" s="19" t="s">
        <v>330</v>
      </c>
      <c r="C34" s="34" t="s">
        <v>331</v>
      </c>
      <c r="D34" s="26" t="str">
        <f ca="1">IFERROR(_xludf.xlookup("S020",A6:A25,K6:K25),"Unknown")</f>
        <v>Unknown</v>
      </c>
      <c r="E34" s="35"/>
      <c r="F34" s="9" t="str">
        <f t="shared" si="3"/>
        <v>⬜ Empty</v>
      </c>
    </row>
    <row r="36" spans="1:10" ht="21.75" customHeight="1" x14ac:dyDescent="0.3">
      <c r="A36" s="60" t="s">
        <v>332</v>
      </c>
      <c r="B36" s="60"/>
      <c r="C36" s="60"/>
      <c r="D36" s="60"/>
      <c r="E36" s="60"/>
      <c r="F36" s="60"/>
      <c r="G36" s="60"/>
      <c r="H36" s="60"/>
      <c r="I36" s="60"/>
      <c r="J36" s="60"/>
    </row>
    <row r="37" spans="1:10" ht="15" customHeight="1" x14ac:dyDescent="0.3">
      <c r="A37" s="1" t="s">
        <v>245</v>
      </c>
      <c r="B37" s="1" t="s">
        <v>333</v>
      </c>
      <c r="C37" s="1" t="s">
        <v>257</v>
      </c>
      <c r="D37" s="1" t="s">
        <v>334</v>
      </c>
      <c r="E37" s="1" t="s">
        <v>335</v>
      </c>
      <c r="F37" s="1" t="s">
        <v>336</v>
      </c>
    </row>
    <row r="38" spans="1:10" ht="15" customHeight="1" x14ac:dyDescent="0.3">
      <c r="A38" s="15" t="s">
        <v>248</v>
      </c>
      <c r="B38" s="10">
        <f>COUNTIF(C$6:C$25,A38)</f>
        <v>7</v>
      </c>
      <c r="C38" s="10">
        <f>COUNTIFS(C$6:C$25,A38,I$6:I$25,"Present")</f>
        <v>6</v>
      </c>
      <c r="D38" s="32">
        <f>IFERROR(AVERAGEIF(C$6:C$25,A38,E$6:E$25),0)</f>
        <v>63.714285714285715</v>
      </c>
      <c r="E38" s="32">
        <f>IFERROR(AVERAGEIF(C$6:C$25,A38,F$6:F$25),0)</f>
        <v>66.428571428571431</v>
      </c>
      <c r="F38" s="10" t="str">
        <f ca="1">IFERROR(INDEX(B$6:B$25,MATCH(_xludf.maxifs(J$6:J$25,C$6:C$25,A38),J$6:J$25,0)),"N/A")</f>
        <v>N/A</v>
      </c>
    </row>
    <row r="39" spans="1:10" ht="15" customHeight="1" x14ac:dyDescent="0.3">
      <c r="A39" s="16" t="s">
        <v>260</v>
      </c>
      <c r="B39" s="9">
        <f>COUNTIF(C$6:C$25,A39)</f>
        <v>7</v>
      </c>
      <c r="C39" s="9">
        <f>COUNTIFS(C$6:C$25,A39,I$6:I$25,"Present")</f>
        <v>6</v>
      </c>
      <c r="D39" s="33">
        <f>IFERROR(AVERAGEIF(C$6:C$25,A39,E$6:E$25),0)</f>
        <v>72.857142857142861</v>
      </c>
      <c r="E39" s="33">
        <f>IFERROR(AVERAGEIF(C$6:C$25,A39,F$6:F$25),0)</f>
        <v>71.142857142857139</v>
      </c>
      <c r="F39" s="9" t="str">
        <f ca="1">IFERROR(INDEX(B$6:B$25,MATCH(_xludf.maxifs(J$6:J$25,C$6:C$25,A39),J$6:J$25,0)),"N/A")</f>
        <v>N/A</v>
      </c>
    </row>
    <row r="40" spans="1:10" ht="15" customHeight="1" x14ac:dyDescent="0.3">
      <c r="A40" s="15" t="s">
        <v>264</v>
      </c>
      <c r="B40" s="10">
        <f>COUNTIF(C$6:C$25,A40)</f>
        <v>6</v>
      </c>
      <c r="C40" s="10">
        <f>COUNTIFS(C$6:C$25,A40,I$6:I$25,"Present")</f>
        <v>4</v>
      </c>
      <c r="D40" s="32">
        <f>IFERROR(AVERAGEIF(C$6:C$25,A40,E$6:E$25),0)</f>
        <v>78</v>
      </c>
      <c r="E40" s="32">
        <f>IFERROR(AVERAGEIF(C$6:C$25,A40,F$6:F$25),0)</f>
        <v>78.333333333333329</v>
      </c>
      <c r="F40" s="10" t="str">
        <f ca="1">IFERROR(INDEX(B$6:B$25,MATCH(_xludf.maxifs(J$6:J$25,C$6:C$25,A40),J$6:J$25,0)),"N/A")</f>
        <v>N/A</v>
      </c>
    </row>
  </sheetData>
  <mergeCells count="5">
    <mergeCell ref="A1:J1"/>
    <mergeCell ref="A2:J2"/>
    <mergeCell ref="A4:J4"/>
    <mergeCell ref="A27:J27"/>
    <mergeCell ref="A36:J3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"/>
  <sheetViews>
    <sheetView zoomScaleNormal="100" workbookViewId="0">
      <pane ySplit="3" topLeftCell="A4" activePane="bottomLeft" state="frozen"/>
      <selection pane="bottomLeft" sqref="A1:I1"/>
    </sheetView>
  </sheetViews>
  <sheetFormatPr defaultColWidth="8.6640625" defaultRowHeight="14.4" x14ac:dyDescent="0.3"/>
  <cols>
    <col min="1" max="1" width="14" customWidth="1"/>
    <col min="2" max="2" width="52" customWidth="1"/>
    <col min="3" max="3" width="38" customWidth="1"/>
    <col min="4" max="4" width="44" customWidth="1"/>
  </cols>
  <sheetData>
    <row r="1" spans="1:9" ht="27.75" customHeight="1" x14ac:dyDescent="0.3">
      <c r="A1" s="61" t="s">
        <v>337</v>
      </c>
      <c r="B1" s="61"/>
      <c r="C1" s="61"/>
      <c r="D1" s="61"/>
      <c r="E1" s="61"/>
      <c r="F1" s="61"/>
      <c r="G1" s="61"/>
      <c r="H1" s="61"/>
      <c r="I1" s="61"/>
    </row>
    <row r="3" spans="1:9" ht="15" customHeight="1" x14ac:dyDescent="0.3">
      <c r="A3" s="1" t="s">
        <v>306</v>
      </c>
      <c r="B3" s="1" t="s">
        <v>338</v>
      </c>
      <c r="C3" s="1" t="s">
        <v>339</v>
      </c>
      <c r="D3" s="1" t="s">
        <v>340</v>
      </c>
      <c r="E3" s="1"/>
    </row>
    <row r="4" spans="1:9" ht="30" customHeight="1" x14ac:dyDescent="0.3">
      <c r="A4" s="36" t="s">
        <v>312</v>
      </c>
      <c r="B4" s="37" t="s">
        <v>341</v>
      </c>
      <c r="C4" s="38" t="s">
        <v>342</v>
      </c>
      <c r="D4" s="37" t="s">
        <v>343</v>
      </c>
    </row>
    <row r="5" spans="1:9" ht="30" customHeight="1" x14ac:dyDescent="0.3">
      <c r="A5" s="39" t="s">
        <v>344</v>
      </c>
      <c r="B5" s="40" t="s">
        <v>345</v>
      </c>
      <c r="C5" s="41" t="s">
        <v>346</v>
      </c>
      <c r="D5" s="40" t="s">
        <v>347</v>
      </c>
    </row>
    <row r="6" spans="1:9" ht="30" customHeight="1" x14ac:dyDescent="0.3">
      <c r="A6" s="42" t="s">
        <v>348</v>
      </c>
      <c r="B6" s="43" t="s">
        <v>349</v>
      </c>
      <c r="C6" s="44" t="s">
        <v>350</v>
      </c>
      <c r="D6" s="43" t="s">
        <v>351</v>
      </c>
    </row>
    <row r="7" spans="1:9" ht="30" customHeight="1" x14ac:dyDescent="0.3">
      <c r="A7" s="45" t="s">
        <v>352</v>
      </c>
      <c r="B7" s="46" t="s">
        <v>353</v>
      </c>
      <c r="C7" s="47" t="s">
        <v>354</v>
      </c>
      <c r="D7" s="46" t="s">
        <v>355</v>
      </c>
    </row>
    <row r="8" spans="1:9" ht="30" customHeight="1" x14ac:dyDescent="0.3">
      <c r="A8" s="48" t="s">
        <v>356</v>
      </c>
      <c r="B8" s="49" t="s">
        <v>162</v>
      </c>
      <c r="C8" s="50" t="s">
        <v>357</v>
      </c>
      <c r="D8" s="49" t="s">
        <v>358</v>
      </c>
    </row>
    <row r="9" spans="1:9" ht="30" customHeight="1" x14ac:dyDescent="0.3">
      <c r="A9" s="48" t="s">
        <v>359</v>
      </c>
      <c r="B9" s="49" t="s">
        <v>360</v>
      </c>
      <c r="C9" s="50" t="s">
        <v>361</v>
      </c>
      <c r="D9" s="49" t="s">
        <v>362</v>
      </c>
    </row>
    <row r="10" spans="1:9" ht="30" customHeight="1" x14ac:dyDescent="0.3">
      <c r="A10" s="48" t="s">
        <v>363</v>
      </c>
      <c r="B10" s="49" t="s">
        <v>364</v>
      </c>
      <c r="C10" s="50" t="s">
        <v>365</v>
      </c>
      <c r="D10" s="49" t="s">
        <v>366</v>
      </c>
    </row>
    <row r="11" spans="1:9" ht="30" customHeight="1" x14ac:dyDescent="0.3">
      <c r="A11" s="51" t="s">
        <v>323</v>
      </c>
      <c r="B11" s="52" t="s">
        <v>367</v>
      </c>
      <c r="C11" s="53" t="s">
        <v>368</v>
      </c>
      <c r="D11" s="52" t="s">
        <v>369</v>
      </c>
    </row>
    <row r="12" spans="1:9" ht="30" customHeight="1" x14ac:dyDescent="0.3">
      <c r="A12" s="51" t="s">
        <v>370</v>
      </c>
      <c r="B12" s="52" t="s">
        <v>371</v>
      </c>
      <c r="C12" s="53" t="s">
        <v>372</v>
      </c>
      <c r="D12" s="52" t="s">
        <v>373</v>
      </c>
    </row>
    <row r="13" spans="1:9" ht="30" customHeight="1" x14ac:dyDescent="0.3">
      <c r="A13" s="51" t="s">
        <v>374</v>
      </c>
      <c r="B13" s="52" t="s">
        <v>375</v>
      </c>
      <c r="C13" s="53" t="s">
        <v>376</v>
      </c>
      <c r="D13" s="52" t="s">
        <v>377</v>
      </c>
    </row>
    <row r="14" spans="1:9" ht="30" customHeight="1" x14ac:dyDescent="0.3">
      <c r="A14" s="54" t="s">
        <v>327</v>
      </c>
      <c r="B14" s="55" t="s">
        <v>378</v>
      </c>
      <c r="C14" s="56" t="s">
        <v>379</v>
      </c>
      <c r="D14" s="55" t="s">
        <v>380</v>
      </c>
    </row>
    <row r="15" spans="1:9" ht="30" customHeight="1" x14ac:dyDescent="0.3">
      <c r="A15" s="54" t="s">
        <v>381</v>
      </c>
      <c r="B15" s="55" t="s">
        <v>382</v>
      </c>
      <c r="C15" s="56" t="s">
        <v>383</v>
      </c>
      <c r="D15" s="55" t="s">
        <v>384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📦 Raw Data</vt:lpstr>
      <vt:lpstr>🔍 XLOOKUP</vt:lpstr>
      <vt:lpstr>🎯 INDEX-MATCH</vt:lpstr>
      <vt:lpstr>🌿 Nested IFS</vt:lpstr>
      <vt:lpstr>➕ SUMIFS</vt:lpstr>
      <vt:lpstr>🛡️ IFERROR</vt:lpstr>
      <vt:lpstr>📝 Practice Dataset</vt:lpstr>
      <vt:lpstr>📋 Cheat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Utsav Lankaprti</cp:lastModifiedBy>
  <cp:revision>0</cp:revision>
  <dcterms:created xsi:type="dcterms:W3CDTF">2026-05-19T19:13:59Z</dcterms:created>
  <dcterms:modified xsi:type="dcterms:W3CDTF">2026-05-20T04:44:43Z</dcterms:modified>
  <dc:language>en-US</dc:language>
</cp:coreProperties>
</file>